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\Documents\Études\POLYTECH\5A\PRI\01 - TRAVAIL\00 - Suivi\"/>
    </mc:Choice>
  </mc:AlternateContent>
  <xr:revisionPtr revIDLastSave="0" documentId="13_ncr:1_{4E494C70-BF6D-4462-9C34-BAEFCF4C8227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ynthèse" sheetId="6" r:id="rId1"/>
    <sheet name="Septembre" sheetId="13" r:id="rId2"/>
    <sheet name="Octobre" sheetId="14" r:id="rId3"/>
    <sheet name="Novembre" sheetId="15" r:id="rId4"/>
    <sheet name="Décembre" sheetId="16" r:id="rId5"/>
    <sheet name="Janvier" sheetId="17" r:id="rId6"/>
    <sheet name="Février" sheetId="18" r:id="rId7"/>
  </sheets>
  <definedNames>
    <definedName name="_xlnm._FilterDatabase" localSheetId="4" hidden="1">Décembre!$N$1:$N$20</definedName>
    <definedName name="_xlnm._FilterDatabase" localSheetId="6" hidden="1">Février!$N$1:$N$20</definedName>
    <definedName name="_xlnm._FilterDatabase" localSheetId="5" hidden="1">Janvier!$N$1:$N$20</definedName>
    <definedName name="_xlnm._FilterDatabase" localSheetId="3" hidden="1">Novembre!$N$1:$N$20</definedName>
    <definedName name="_xlnm._FilterDatabase" localSheetId="2" hidden="1">Octobre!$N$1:$N$20</definedName>
    <definedName name="_xlnm._FilterDatabase" localSheetId="1" hidden="1">Septembre!$N$1:$N$20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6" l="1"/>
  <c r="I8" i="6"/>
  <c r="I7" i="6"/>
  <c r="I6" i="6"/>
  <c r="I5" i="6"/>
  <c r="I4" i="6"/>
  <c r="J2" i="18"/>
  <c r="J3" i="18"/>
  <c r="J4" i="18"/>
  <c r="J5" i="18"/>
  <c r="J6" i="18"/>
  <c r="J7" i="18"/>
  <c r="J8" i="18"/>
  <c r="K8" i="18" s="1"/>
  <c r="J9" i="18"/>
  <c r="J10" i="18"/>
  <c r="J11" i="18"/>
  <c r="J12" i="18"/>
  <c r="K12" i="18" s="1"/>
  <c r="J13" i="18"/>
  <c r="K13" i="18" s="1"/>
  <c r="J14" i="18"/>
  <c r="K14" i="18" s="1"/>
  <c r="J15" i="18"/>
  <c r="J16" i="18"/>
  <c r="K16" i="18" s="1"/>
  <c r="J17" i="18"/>
  <c r="J18" i="18"/>
  <c r="J19" i="18"/>
  <c r="J20" i="18"/>
  <c r="J2" i="17"/>
  <c r="J3" i="17"/>
  <c r="J4" i="17"/>
  <c r="J5" i="17"/>
  <c r="J6" i="17"/>
  <c r="J7" i="17"/>
  <c r="J8" i="17"/>
  <c r="J9" i="17"/>
  <c r="J10" i="17"/>
  <c r="J11" i="17"/>
  <c r="J12" i="17"/>
  <c r="J13" i="17"/>
  <c r="J14" i="17"/>
  <c r="J15" i="17"/>
  <c r="K15" i="17" s="1"/>
  <c r="J16" i="17"/>
  <c r="K16" i="17" s="1"/>
  <c r="J17" i="17"/>
  <c r="K17" i="17" s="1"/>
  <c r="J18" i="17"/>
  <c r="J19" i="17"/>
  <c r="J20" i="17"/>
  <c r="J2" i="16"/>
  <c r="J3" i="16"/>
  <c r="J4" i="16"/>
  <c r="J5" i="16"/>
  <c r="J6" i="16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" i="15"/>
  <c r="J3" i="15"/>
  <c r="J4" i="15"/>
  <c r="J5" i="15"/>
  <c r="J6" i="15"/>
  <c r="J7" i="15"/>
  <c r="J8" i="15"/>
  <c r="J9" i="15"/>
  <c r="J10" i="15"/>
  <c r="J11" i="15"/>
  <c r="J12" i="15"/>
  <c r="J13" i="15"/>
  <c r="K13" i="15" s="1"/>
  <c r="J14" i="15"/>
  <c r="K14" i="15" s="1"/>
  <c r="J15" i="15"/>
  <c r="J16" i="15"/>
  <c r="J17" i="15"/>
  <c r="J18" i="15"/>
  <c r="J19" i="15"/>
  <c r="J20" i="15"/>
  <c r="J2" i="14"/>
  <c r="J3" i="14"/>
  <c r="K3" i="14" s="1"/>
  <c r="J4" i="14"/>
  <c r="J5" i="14"/>
  <c r="K5" i="14" s="1"/>
  <c r="J6" i="14"/>
  <c r="K6" i="14" s="1"/>
  <c r="J7" i="14"/>
  <c r="J8" i="14"/>
  <c r="K8" i="14" s="1"/>
  <c r="J9" i="14"/>
  <c r="J10" i="14"/>
  <c r="J11" i="14"/>
  <c r="J12" i="14"/>
  <c r="J13" i="14"/>
  <c r="K13" i="14" s="1"/>
  <c r="J14" i="14"/>
  <c r="J15" i="14"/>
  <c r="J16" i="14"/>
  <c r="J17" i="14"/>
  <c r="J18" i="14"/>
  <c r="J19" i="14"/>
  <c r="J20" i="14"/>
  <c r="J2" i="13"/>
  <c r="J3" i="13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K2" i="18"/>
  <c r="K3" i="18"/>
  <c r="K4" i="18"/>
  <c r="K5" i="18"/>
  <c r="K9" i="18"/>
  <c r="K10" i="18"/>
  <c r="K11" i="18"/>
  <c r="K18" i="18"/>
  <c r="K19" i="18"/>
  <c r="K20" i="18"/>
  <c r="K2" i="17"/>
  <c r="K3" i="17"/>
  <c r="K4" i="17"/>
  <c r="K5" i="17"/>
  <c r="K6" i="17"/>
  <c r="K7" i="17"/>
  <c r="K11" i="17"/>
  <c r="K12" i="17"/>
  <c r="K13" i="17"/>
  <c r="K14" i="17"/>
  <c r="K18" i="17"/>
  <c r="K19" i="17"/>
  <c r="K20" i="17"/>
  <c r="K2" i="16"/>
  <c r="K3" i="16"/>
  <c r="K4" i="16"/>
  <c r="K5" i="16"/>
  <c r="K6" i="16"/>
  <c r="K7" i="16"/>
  <c r="K8" i="16"/>
  <c r="K9" i="16"/>
  <c r="K11" i="16"/>
  <c r="K12" i="16"/>
  <c r="K13" i="16"/>
  <c r="K14" i="16"/>
  <c r="K15" i="16"/>
  <c r="K16" i="16"/>
  <c r="K17" i="16"/>
  <c r="K18" i="16"/>
  <c r="K19" i="16"/>
  <c r="K20" i="16"/>
  <c r="K2" i="15"/>
  <c r="K3" i="15"/>
  <c r="K4" i="15"/>
  <c r="K5" i="15"/>
  <c r="K6" i="15"/>
  <c r="K7" i="15"/>
  <c r="K18" i="15"/>
  <c r="K19" i="15"/>
  <c r="K20" i="15"/>
  <c r="K2" i="14"/>
  <c r="K4" i="14"/>
  <c r="K11" i="14"/>
  <c r="K12" i="14"/>
  <c r="K18" i="14"/>
  <c r="K19" i="14"/>
  <c r="K20" i="14"/>
  <c r="D21" i="14"/>
  <c r="E21" i="14"/>
  <c r="F13" i="13"/>
  <c r="G13" i="13" s="1"/>
  <c r="M13" i="13" l="1"/>
  <c r="F13" i="14"/>
  <c r="H13" i="13"/>
  <c r="L13" i="13" s="1"/>
  <c r="K7" i="18"/>
  <c r="K6" i="18"/>
  <c r="K15" i="18"/>
  <c r="K17" i="18"/>
  <c r="K10" i="17"/>
  <c r="K9" i="17"/>
  <c r="K8" i="17"/>
  <c r="K10" i="16"/>
  <c r="K17" i="15"/>
  <c r="K16" i="15"/>
  <c r="K9" i="15"/>
  <c r="K11" i="15"/>
  <c r="K8" i="15"/>
  <c r="K12" i="15"/>
  <c r="K10" i="15"/>
  <c r="K15" i="15"/>
  <c r="K17" i="14"/>
  <c r="K16" i="14"/>
  <c r="K15" i="14"/>
  <c r="K14" i="14"/>
  <c r="K9" i="14"/>
  <c r="K10" i="14"/>
  <c r="K7" i="14"/>
  <c r="J21" i="14"/>
  <c r="K13" i="13"/>
  <c r="I13" i="13" l="1"/>
  <c r="M13" i="14"/>
  <c r="G13" i="14"/>
  <c r="H13" i="14" s="1"/>
  <c r="F13" i="15"/>
  <c r="K21" i="14"/>
  <c r="C25" i="18"/>
  <c r="E21" i="18"/>
  <c r="D21" i="18"/>
  <c r="C9" i="6" s="1"/>
  <c r="C25" i="17"/>
  <c r="E21" i="17"/>
  <c r="D21" i="17"/>
  <c r="C8" i="6" s="1"/>
  <c r="C25" i="16"/>
  <c r="E21" i="16"/>
  <c r="D21" i="16"/>
  <c r="C7" i="6" s="1"/>
  <c r="C25" i="15"/>
  <c r="E21" i="15"/>
  <c r="D21" i="15"/>
  <c r="C6" i="6" s="1"/>
  <c r="C25" i="14"/>
  <c r="C5" i="6"/>
  <c r="F20" i="13"/>
  <c r="F20" i="14" s="1"/>
  <c r="F19" i="13"/>
  <c r="F19" i="14" s="1"/>
  <c r="F18" i="13"/>
  <c r="F18" i="14" s="1"/>
  <c r="F17" i="13"/>
  <c r="F17" i="14" s="1"/>
  <c r="F16" i="13"/>
  <c r="F16" i="14" s="1"/>
  <c r="K15" i="13"/>
  <c r="F15" i="13"/>
  <c r="F15" i="14" s="1"/>
  <c r="F14" i="13"/>
  <c r="F14" i="14" s="1"/>
  <c r="F12" i="13"/>
  <c r="F12" i="14" s="1"/>
  <c r="F11" i="13"/>
  <c r="F11" i="14" s="1"/>
  <c r="K10" i="13"/>
  <c r="F10" i="13"/>
  <c r="F10" i="14" s="1"/>
  <c r="F8" i="13"/>
  <c r="F8" i="14" s="1"/>
  <c r="F7" i="13"/>
  <c r="F7" i="14" s="1"/>
  <c r="K7" i="13"/>
  <c r="F9" i="13"/>
  <c r="F9" i="14" s="1"/>
  <c r="K9" i="13"/>
  <c r="F9" i="15" l="1"/>
  <c r="G9" i="14"/>
  <c r="H9" i="14" s="1"/>
  <c r="M9" i="14"/>
  <c r="M19" i="14"/>
  <c r="F19" i="15"/>
  <c r="G19" i="14"/>
  <c r="H19" i="14" s="1"/>
  <c r="G11" i="14"/>
  <c r="H11" i="14" s="1"/>
  <c r="M11" i="14"/>
  <c r="F11" i="15"/>
  <c r="F14" i="15"/>
  <c r="G14" i="14"/>
  <c r="H14" i="14" s="1"/>
  <c r="M14" i="14"/>
  <c r="F20" i="15"/>
  <c r="H20" i="14"/>
  <c r="M20" i="14"/>
  <c r="G20" i="14"/>
  <c r="G10" i="14"/>
  <c r="H10" i="14" s="1"/>
  <c r="F10" i="15"/>
  <c r="M10" i="14"/>
  <c r="F12" i="15"/>
  <c r="G12" i="14"/>
  <c r="H12" i="14" s="1"/>
  <c r="M12" i="14"/>
  <c r="G15" i="14"/>
  <c r="H15" i="14" s="1"/>
  <c r="F15" i="15"/>
  <c r="M15" i="14"/>
  <c r="F13" i="16"/>
  <c r="G13" i="15"/>
  <c r="H13" i="15" s="1"/>
  <c r="M13" i="15"/>
  <c r="F8" i="15"/>
  <c r="G8" i="14"/>
  <c r="H8" i="14" s="1"/>
  <c r="M8" i="14"/>
  <c r="L13" i="14"/>
  <c r="I13" i="14"/>
  <c r="G7" i="14"/>
  <c r="H7" i="14" s="1"/>
  <c r="F7" i="15"/>
  <c r="M7" i="14"/>
  <c r="F16" i="15"/>
  <c r="G16" i="14"/>
  <c r="H16" i="14" s="1"/>
  <c r="M16" i="14"/>
  <c r="F17" i="15"/>
  <c r="G17" i="14"/>
  <c r="H17" i="14" s="1"/>
  <c r="M17" i="14"/>
  <c r="F18" i="15"/>
  <c r="M18" i="14"/>
  <c r="G18" i="14"/>
  <c r="H18" i="14" s="1"/>
  <c r="J21" i="15"/>
  <c r="G17" i="13"/>
  <c r="H17" i="13" s="1"/>
  <c r="L17" i="13" s="1"/>
  <c r="G7" i="13"/>
  <c r="H7" i="13" s="1"/>
  <c r="L7" i="13" s="1"/>
  <c r="M18" i="13"/>
  <c r="G9" i="13"/>
  <c r="H9" i="13" s="1"/>
  <c r="L9" i="13" s="1"/>
  <c r="M20" i="13"/>
  <c r="G12" i="13"/>
  <c r="J21" i="18"/>
  <c r="J21" i="17"/>
  <c r="J21" i="16"/>
  <c r="M14" i="13"/>
  <c r="M16" i="13"/>
  <c r="M17" i="13"/>
  <c r="M19" i="13"/>
  <c r="G14" i="13"/>
  <c r="H14" i="13" s="1"/>
  <c r="L14" i="13" s="1"/>
  <c r="G15" i="13"/>
  <c r="H15" i="13" s="1"/>
  <c r="L15" i="13" s="1"/>
  <c r="K19" i="13"/>
  <c r="M15" i="13"/>
  <c r="G20" i="13"/>
  <c r="H20" i="13" s="1"/>
  <c r="L20" i="13" s="1"/>
  <c r="K14" i="13"/>
  <c r="K16" i="13"/>
  <c r="K18" i="13"/>
  <c r="K20" i="13"/>
  <c r="G19" i="13"/>
  <c r="H19" i="13" s="1"/>
  <c r="L19" i="13" s="1"/>
  <c r="K17" i="13"/>
  <c r="G16" i="13"/>
  <c r="H16" i="13" s="1"/>
  <c r="L16" i="13" s="1"/>
  <c r="G18" i="13"/>
  <c r="H18" i="13" s="1"/>
  <c r="L18" i="13" s="1"/>
  <c r="M12" i="13"/>
  <c r="M8" i="13"/>
  <c r="M11" i="13"/>
  <c r="G10" i="13"/>
  <c r="H10" i="13" s="1"/>
  <c r="L10" i="13" s="1"/>
  <c r="H12" i="13"/>
  <c r="L12" i="13" s="1"/>
  <c r="K12" i="13"/>
  <c r="M10" i="13"/>
  <c r="G11" i="13"/>
  <c r="H11" i="13" s="1"/>
  <c r="L11" i="13" s="1"/>
  <c r="K11" i="13"/>
  <c r="G8" i="13"/>
  <c r="H8" i="13" s="1"/>
  <c r="L8" i="13" s="1"/>
  <c r="K8" i="13"/>
  <c r="M9" i="13"/>
  <c r="M7" i="13"/>
  <c r="J21" i="13"/>
  <c r="K2" i="13"/>
  <c r="I9" i="13"/>
  <c r="L8" i="14" l="1"/>
  <c r="I8" i="14"/>
  <c r="L12" i="14"/>
  <c r="I12" i="14"/>
  <c r="I13" i="15"/>
  <c r="L13" i="15"/>
  <c r="I11" i="14"/>
  <c r="L11" i="14"/>
  <c r="L18" i="14"/>
  <c r="I18" i="14"/>
  <c r="L15" i="14"/>
  <c r="I15" i="14"/>
  <c r="L14" i="14"/>
  <c r="I14" i="14"/>
  <c r="L7" i="14"/>
  <c r="I7" i="14"/>
  <c r="L9" i="14"/>
  <c r="I9" i="14"/>
  <c r="L19" i="14"/>
  <c r="I19" i="14"/>
  <c r="L10" i="14"/>
  <c r="I10" i="14"/>
  <c r="G11" i="15"/>
  <c r="H11" i="15" s="1"/>
  <c r="F11" i="16"/>
  <c r="M11" i="15"/>
  <c r="G16" i="15"/>
  <c r="F16" i="16"/>
  <c r="H16" i="15"/>
  <c r="M16" i="15"/>
  <c r="G14" i="15"/>
  <c r="H14" i="15" s="1"/>
  <c r="F14" i="16"/>
  <c r="M14" i="15"/>
  <c r="F12" i="16"/>
  <c r="G12" i="15"/>
  <c r="H12" i="15" s="1"/>
  <c r="M12" i="15"/>
  <c r="M7" i="15"/>
  <c r="G7" i="15"/>
  <c r="H7" i="15" s="1"/>
  <c r="F7" i="16"/>
  <c r="G19" i="15"/>
  <c r="H19" i="15" s="1"/>
  <c r="F19" i="16"/>
  <c r="M19" i="15"/>
  <c r="F8" i="16"/>
  <c r="M8" i="15"/>
  <c r="G8" i="15"/>
  <c r="H8" i="15" s="1"/>
  <c r="L16" i="14"/>
  <c r="I16" i="14"/>
  <c r="G18" i="15"/>
  <c r="H18" i="15" s="1"/>
  <c r="F18" i="16"/>
  <c r="M18" i="15"/>
  <c r="G10" i="15"/>
  <c r="F10" i="16"/>
  <c r="H10" i="15"/>
  <c r="M10" i="15"/>
  <c r="G17" i="15"/>
  <c r="H17" i="15" s="1"/>
  <c r="F17" i="16"/>
  <c r="M17" i="15"/>
  <c r="L17" i="14"/>
  <c r="I17" i="14"/>
  <c r="F15" i="16"/>
  <c r="G15" i="15"/>
  <c r="H15" i="15" s="1"/>
  <c r="M15" i="15"/>
  <c r="L20" i="14"/>
  <c r="I20" i="14"/>
  <c r="M13" i="16"/>
  <c r="G13" i="16"/>
  <c r="H13" i="16" s="1"/>
  <c r="F13" i="17"/>
  <c r="F20" i="16"/>
  <c r="G20" i="15"/>
  <c r="H20" i="15" s="1"/>
  <c r="M20" i="15"/>
  <c r="G9" i="15"/>
  <c r="H9" i="15" s="1"/>
  <c r="F9" i="16"/>
  <c r="M9" i="15"/>
  <c r="K21" i="18"/>
  <c r="G9" i="6" s="1"/>
  <c r="K21" i="17"/>
  <c r="G8" i="6" s="1"/>
  <c r="K21" i="16"/>
  <c r="G7" i="6" s="1"/>
  <c r="K21" i="15"/>
  <c r="G6" i="6" s="1"/>
  <c r="G5" i="6"/>
  <c r="I19" i="13"/>
  <c r="I20" i="13"/>
  <c r="I14" i="13"/>
  <c r="I15" i="13"/>
  <c r="I17" i="13"/>
  <c r="I16" i="13"/>
  <c r="I18" i="13"/>
  <c r="I10" i="13"/>
  <c r="I11" i="13"/>
  <c r="I12" i="13"/>
  <c r="I8" i="13"/>
  <c r="I7" i="13"/>
  <c r="I14" i="15" l="1"/>
  <c r="L14" i="15"/>
  <c r="I17" i="15"/>
  <c r="L17" i="15"/>
  <c r="I7" i="15"/>
  <c r="L7" i="15"/>
  <c r="I15" i="15"/>
  <c r="L15" i="15"/>
  <c r="I11" i="15"/>
  <c r="L11" i="15"/>
  <c r="L13" i="16"/>
  <c r="I13" i="16"/>
  <c r="I9" i="15"/>
  <c r="L9" i="15"/>
  <c r="I20" i="15"/>
  <c r="L20" i="15"/>
  <c r="I12" i="15"/>
  <c r="L12" i="15"/>
  <c r="I19" i="15"/>
  <c r="L19" i="15"/>
  <c r="M14" i="16"/>
  <c r="G14" i="16"/>
  <c r="H14" i="16" s="1"/>
  <c r="F14" i="17"/>
  <c r="F16" i="17"/>
  <c r="G16" i="16"/>
  <c r="H16" i="16" s="1"/>
  <c r="M16" i="16"/>
  <c r="G13" i="17"/>
  <c r="H13" i="17" s="1"/>
  <c r="F13" i="18"/>
  <c r="M13" i="17"/>
  <c r="F8" i="17"/>
  <c r="G8" i="16"/>
  <c r="H8" i="16" s="1"/>
  <c r="M8" i="16"/>
  <c r="F18" i="17"/>
  <c r="M18" i="16"/>
  <c r="G18" i="16"/>
  <c r="H18" i="16" s="1"/>
  <c r="I8" i="15"/>
  <c r="L8" i="15"/>
  <c r="M19" i="16"/>
  <c r="G19" i="16"/>
  <c r="F19" i="17"/>
  <c r="H19" i="16"/>
  <c r="G7" i="16"/>
  <c r="H7" i="16" s="1"/>
  <c r="F7" i="17"/>
  <c r="M7" i="16"/>
  <c r="I16" i="15"/>
  <c r="L16" i="15"/>
  <c r="I10" i="15"/>
  <c r="L10" i="15"/>
  <c r="F10" i="17"/>
  <c r="G10" i="16"/>
  <c r="H10" i="16" s="1"/>
  <c r="M10" i="16"/>
  <c r="F15" i="17"/>
  <c r="G15" i="16"/>
  <c r="H15" i="16"/>
  <c r="M15" i="16"/>
  <c r="G12" i="16"/>
  <c r="H12" i="16" s="1"/>
  <c r="F12" i="17"/>
  <c r="M12" i="16"/>
  <c r="G9" i="16"/>
  <c r="H9" i="16" s="1"/>
  <c r="F9" i="17"/>
  <c r="M9" i="16"/>
  <c r="F20" i="17"/>
  <c r="M20" i="16"/>
  <c r="G20" i="16"/>
  <c r="H20" i="16" s="1"/>
  <c r="F11" i="17"/>
  <c r="G11" i="16"/>
  <c r="H11" i="16" s="1"/>
  <c r="M11" i="16"/>
  <c r="L18" i="15"/>
  <c r="I18" i="15"/>
  <c r="F17" i="17"/>
  <c r="G17" i="16"/>
  <c r="H17" i="16" s="1"/>
  <c r="M17" i="16"/>
  <c r="K3" i="13"/>
  <c r="K4" i="13"/>
  <c r="K5" i="13"/>
  <c r="K6" i="13"/>
  <c r="F4" i="13"/>
  <c r="F4" i="14" s="1"/>
  <c r="F2" i="13"/>
  <c r="F2" i="14" s="1"/>
  <c r="F5" i="13"/>
  <c r="F5" i="14" s="1"/>
  <c r="F6" i="13"/>
  <c r="F6" i="14" s="1"/>
  <c r="F3" i="13"/>
  <c r="F3" i="14" s="1"/>
  <c r="I9" i="16" l="1"/>
  <c r="L9" i="16"/>
  <c r="I16" i="16"/>
  <c r="L16" i="16"/>
  <c r="I10" i="16"/>
  <c r="L10" i="16"/>
  <c r="L12" i="16"/>
  <c r="I12" i="16"/>
  <c r="I7" i="16"/>
  <c r="L7" i="16"/>
  <c r="L20" i="16"/>
  <c r="I20" i="16"/>
  <c r="I17" i="16"/>
  <c r="L17" i="16"/>
  <c r="L18" i="16"/>
  <c r="I18" i="16"/>
  <c r="I8" i="16"/>
  <c r="L8" i="16"/>
  <c r="G17" i="17"/>
  <c r="H17" i="17" s="1"/>
  <c r="F17" i="18"/>
  <c r="M17" i="17"/>
  <c r="F3" i="15"/>
  <c r="M3" i="14"/>
  <c r="G3" i="14"/>
  <c r="H3" i="14" s="1"/>
  <c r="G13" i="18"/>
  <c r="H13" i="18" s="1"/>
  <c r="M13" i="18"/>
  <c r="G15" i="17"/>
  <c r="H15" i="17" s="1"/>
  <c r="F15" i="18"/>
  <c r="M15" i="17"/>
  <c r="G5" i="14"/>
  <c r="H5" i="14" s="1"/>
  <c r="F5" i="15"/>
  <c r="M5" i="14"/>
  <c r="F16" i="18"/>
  <c r="G16" i="17"/>
  <c r="H16" i="17" s="1"/>
  <c r="M16" i="17"/>
  <c r="F14" i="18"/>
  <c r="G14" i="17"/>
  <c r="H14" i="17" s="1"/>
  <c r="M14" i="17"/>
  <c r="F20" i="18"/>
  <c r="M20" i="17"/>
  <c r="G20" i="17"/>
  <c r="H20" i="17" s="1"/>
  <c r="I14" i="16"/>
  <c r="L14" i="16"/>
  <c r="I19" i="16"/>
  <c r="L19" i="16"/>
  <c r="F6" i="15"/>
  <c r="M6" i="14"/>
  <c r="G6" i="14"/>
  <c r="H6" i="14" s="1"/>
  <c r="I13" i="17"/>
  <c r="L13" i="17"/>
  <c r="I15" i="16"/>
  <c r="L15" i="16"/>
  <c r="G11" i="17"/>
  <c r="H11" i="17" s="1"/>
  <c r="M11" i="17"/>
  <c r="F11" i="18"/>
  <c r="M18" i="17"/>
  <c r="F18" i="18"/>
  <c r="G18" i="17"/>
  <c r="H18" i="17" s="1"/>
  <c r="M19" i="17"/>
  <c r="G19" i="17"/>
  <c r="H19" i="17" s="1"/>
  <c r="F19" i="18"/>
  <c r="L11" i="16"/>
  <c r="I11" i="16"/>
  <c r="G7" i="17"/>
  <c r="H7" i="17" s="1"/>
  <c r="F7" i="18"/>
  <c r="M7" i="17"/>
  <c r="F2" i="15"/>
  <c r="M2" i="14"/>
  <c r="G2" i="14"/>
  <c r="H2" i="14" s="1"/>
  <c r="F9" i="18"/>
  <c r="G9" i="17"/>
  <c r="H9" i="17" s="1"/>
  <c r="M9" i="17"/>
  <c r="F8" i="18"/>
  <c r="G8" i="17"/>
  <c r="H8" i="17" s="1"/>
  <c r="M8" i="17"/>
  <c r="F4" i="15"/>
  <c r="M4" i="14"/>
  <c r="G4" i="14"/>
  <c r="H4" i="14" s="1"/>
  <c r="G10" i="17"/>
  <c r="H10" i="17" s="1"/>
  <c r="F10" i="18"/>
  <c r="M10" i="17"/>
  <c r="M12" i="17"/>
  <c r="F12" i="18"/>
  <c r="G12" i="17"/>
  <c r="H12" i="17" s="1"/>
  <c r="G3" i="13"/>
  <c r="H3" i="13" s="1"/>
  <c r="L3" i="13" s="1"/>
  <c r="C25" i="13"/>
  <c r="G2" i="13"/>
  <c r="H2" i="13" s="1"/>
  <c r="M4" i="13"/>
  <c r="M5" i="13"/>
  <c r="M6" i="13"/>
  <c r="M2" i="13"/>
  <c r="G4" i="13"/>
  <c r="H4" i="13" s="1"/>
  <c r="M3" i="13"/>
  <c r="G6" i="13"/>
  <c r="H6" i="13" s="1"/>
  <c r="G5" i="13"/>
  <c r="H5" i="13" s="1"/>
  <c r="L5" i="13" s="1"/>
  <c r="I9" i="17" l="1"/>
  <c r="L9" i="17"/>
  <c r="L18" i="17"/>
  <c r="I18" i="17"/>
  <c r="I3" i="14"/>
  <c r="L3" i="14"/>
  <c r="I14" i="17"/>
  <c r="L14" i="17"/>
  <c r="I19" i="17"/>
  <c r="L19" i="17"/>
  <c r="L15" i="17"/>
  <c r="I15" i="17"/>
  <c r="L12" i="17"/>
  <c r="I12" i="17"/>
  <c r="I17" i="17"/>
  <c r="L17" i="17"/>
  <c r="L4" i="14"/>
  <c r="I4" i="14"/>
  <c r="I7" i="17"/>
  <c r="L7" i="17"/>
  <c r="I13" i="18"/>
  <c r="L13" i="18"/>
  <c r="L16" i="17"/>
  <c r="I16" i="17"/>
  <c r="I6" i="14"/>
  <c r="L6" i="14"/>
  <c r="L20" i="17"/>
  <c r="I20" i="17"/>
  <c r="I6" i="13"/>
  <c r="L6" i="13"/>
  <c r="F4" i="16"/>
  <c r="H4" i="15"/>
  <c r="M4" i="15"/>
  <c r="G4" i="15"/>
  <c r="H15" i="18"/>
  <c r="G15" i="18"/>
  <c r="M15" i="18"/>
  <c r="M2" i="15"/>
  <c r="G2" i="15"/>
  <c r="H2" i="15" s="1"/>
  <c r="F2" i="16"/>
  <c r="I10" i="17"/>
  <c r="L10" i="17"/>
  <c r="G16" i="18"/>
  <c r="H16" i="18" s="1"/>
  <c r="M16" i="18"/>
  <c r="M3" i="15"/>
  <c r="F3" i="16"/>
  <c r="G3" i="15"/>
  <c r="H3" i="15" s="1"/>
  <c r="G11" i="18"/>
  <c r="H11" i="18" s="1"/>
  <c r="M11" i="18"/>
  <c r="L11" i="17"/>
  <c r="I11" i="17"/>
  <c r="I2" i="13"/>
  <c r="L2" i="13"/>
  <c r="F6" i="16"/>
  <c r="M6" i="15"/>
  <c r="G6" i="15"/>
  <c r="H6" i="15" s="1"/>
  <c r="L2" i="14"/>
  <c r="I2" i="14"/>
  <c r="I21" i="14" s="1"/>
  <c r="H21" i="14"/>
  <c r="I4" i="13"/>
  <c r="L4" i="13"/>
  <c r="H14" i="18"/>
  <c r="G14" i="18"/>
  <c r="M14" i="18"/>
  <c r="G8" i="18"/>
  <c r="H8" i="18" s="1"/>
  <c r="M8" i="18"/>
  <c r="L5" i="14"/>
  <c r="I5" i="14"/>
  <c r="G17" i="18"/>
  <c r="H17" i="18" s="1"/>
  <c r="M17" i="18"/>
  <c r="M20" i="18"/>
  <c r="G20" i="18"/>
  <c r="H20" i="18" s="1"/>
  <c r="G7" i="18"/>
  <c r="H7" i="18" s="1"/>
  <c r="M7" i="18"/>
  <c r="M19" i="18"/>
  <c r="G19" i="18"/>
  <c r="H19" i="18" s="1"/>
  <c r="H12" i="18"/>
  <c r="G12" i="18"/>
  <c r="M12" i="18"/>
  <c r="G9" i="18"/>
  <c r="H9" i="18" s="1"/>
  <c r="M9" i="18"/>
  <c r="G18" i="18"/>
  <c r="H18" i="18" s="1"/>
  <c r="M18" i="18"/>
  <c r="F5" i="16"/>
  <c r="M5" i="15"/>
  <c r="G5" i="15"/>
  <c r="H5" i="15" s="1"/>
  <c r="I8" i="17"/>
  <c r="L8" i="17"/>
  <c r="G21" i="14"/>
  <c r="G10" i="18"/>
  <c r="H10" i="18" s="1"/>
  <c r="M10" i="18"/>
  <c r="M21" i="14"/>
  <c r="H5" i="6" s="1"/>
  <c r="I3" i="13"/>
  <c r="I5" i="13"/>
  <c r="E21" i="13"/>
  <c r="D21" i="13"/>
  <c r="L21" i="14" l="1"/>
  <c r="I19" i="18"/>
  <c r="L19" i="18"/>
  <c r="I16" i="18"/>
  <c r="L16" i="18"/>
  <c r="I2" i="15"/>
  <c r="L2" i="15"/>
  <c r="I17" i="18"/>
  <c r="L17" i="18"/>
  <c r="I7" i="18"/>
  <c r="L7" i="18"/>
  <c r="L6" i="15"/>
  <c r="I6" i="15"/>
  <c r="I18" i="18"/>
  <c r="L18" i="18"/>
  <c r="L5" i="15"/>
  <c r="I5" i="15"/>
  <c r="G2" i="16"/>
  <c r="H2" i="16"/>
  <c r="M2" i="16"/>
  <c r="F2" i="17"/>
  <c r="M5" i="16"/>
  <c r="F5" i="17"/>
  <c r="G5" i="16"/>
  <c r="H5" i="16" s="1"/>
  <c r="F6" i="17"/>
  <c r="G6" i="16"/>
  <c r="H6" i="16" s="1"/>
  <c r="M6" i="16"/>
  <c r="I4" i="15"/>
  <c r="L4" i="15"/>
  <c r="G4" i="16"/>
  <c r="H4" i="16" s="1"/>
  <c r="M4" i="16"/>
  <c r="F4" i="17"/>
  <c r="I12" i="18"/>
  <c r="L12" i="18"/>
  <c r="I20" i="18"/>
  <c r="L20" i="18"/>
  <c r="L10" i="18"/>
  <c r="I10" i="18"/>
  <c r="I8" i="18"/>
  <c r="L8" i="18"/>
  <c r="I11" i="18"/>
  <c r="L11" i="18"/>
  <c r="I15" i="18"/>
  <c r="L15" i="18"/>
  <c r="L3" i="15"/>
  <c r="I3" i="15"/>
  <c r="L9" i="18"/>
  <c r="I9" i="18"/>
  <c r="I14" i="18"/>
  <c r="L14" i="18"/>
  <c r="F3" i="17"/>
  <c r="M3" i="16"/>
  <c r="G3" i="16"/>
  <c r="H3" i="16" s="1"/>
  <c r="C4" i="6"/>
  <c r="D5" i="6"/>
  <c r="E5" i="6"/>
  <c r="K21" i="13"/>
  <c r="G21" i="13"/>
  <c r="M21" i="13"/>
  <c r="F21" i="13"/>
  <c r="L4" i="16" l="1"/>
  <c r="I4" i="16"/>
  <c r="I5" i="16"/>
  <c r="L5" i="16"/>
  <c r="I6" i="16"/>
  <c r="L6" i="16"/>
  <c r="I3" i="16"/>
  <c r="L3" i="16"/>
  <c r="F6" i="18"/>
  <c r="G6" i="17"/>
  <c r="H6" i="17" s="1"/>
  <c r="M6" i="17"/>
  <c r="G4" i="17"/>
  <c r="H4" i="17" s="1"/>
  <c r="M4" i="17"/>
  <c r="F4" i="18"/>
  <c r="L2" i="16"/>
  <c r="I2" i="16"/>
  <c r="M5" i="17"/>
  <c r="G5" i="17"/>
  <c r="H5" i="17" s="1"/>
  <c r="F5" i="18"/>
  <c r="G3" i="17"/>
  <c r="H3" i="17" s="1"/>
  <c r="M3" i="17"/>
  <c r="F3" i="18"/>
  <c r="G2" i="17"/>
  <c r="H2" i="17" s="1"/>
  <c r="M2" i="17"/>
  <c r="F2" i="18"/>
  <c r="G4" i="6"/>
  <c r="H4" i="6"/>
  <c r="F4" i="6"/>
  <c r="H21" i="13"/>
  <c r="L21" i="13"/>
  <c r="I21" i="13"/>
  <c r="I4" i="17" l="1"/>
  <c r="L4" i="17"/>
  <c r="I6" i="17"/>
  <c r="L6" i="17"/>
  <c r="I3" i="17"/>
  <c r="L3" i="17"/>
  <c r="I5" i="17"/>
  <c r="L5" i="17"/>
  <c r="I2" i="17"/>
  <c r="L2" i="17"/>
  <c r="M2" i="18"/>
  <c r="G2" i="18"/>
  <c r="H2" i="18" s="1"/>
  <c r="M4" i="18"/>
  <c r="G4" i="18"/>
  <c r="H4" i="18" s="1"/>
  <c r="M6" i="18"/>
  <c r="G6" i="18"/>
  <c r="H6" i="18" s="1"/>
  <c r="M3" i="18"/>
  <c r="G3" i="18"/>
  <c r="H3" i="18" s="1"/>
  <c r="M5" i="18"/>
  <c r="G5" i="18"/>
  <c r="H5" i="18" s="1"/>
  <c r="E4" i="6"/>
  <c r="D4" i="6"/>
  <c r="L2" i="18" l="1"/>
  <c r="I2" i="18"/>
  <c r="I6" i="18"/>
  <c r="L6" i="18"/>
  <c r="L4" i="18"/>
  <c r="I4" i="18"/>
  <c r="I5" i="18"/>
  <c r="L5" i="18"/>
  <c r="L3" i="18"/>
  <c r="I3" i="18"/>
  <c r="F21" i="14"/>
  <c r="F5" i="6" s="1"/>
  <c r="F21" i="15" l="1"/>
  <c r="F6" i="6" s="1"/>
  <c r="H21" i="15" l="1"/>
  <c r="D6" i="6" s="1"/>
  <c r="F21" i="16"/>
  <c r="F7" i="6" s="1"/>
  <c r="M21" i="15"/>
  <c r="H6" i="6" s="1"/>
  <c r="G21" i="15"/>
  <c r="F21" i="17" l="1"/>
  <c r="F8" i="6" s="1"/>
  <c r="G21" i="16"/>
  <c r="M21" i="16"/>
  <c r="H7" i="6" s="1"/>
  <c r="H21" i="16"/>
  <c r="D7" i="6" s="1"/>
  <c r="I21" i="15"/>
  <c r="E6" i="6" s="1"/>
  <c r="L21" i="15"/>
  <c r="M21" i="17" l="1"/>
  <c r="H8" i="6" s="1"/>
  <c r="I21" i="16"/>
  <c r="E7" i="6" s="1"/>
  <c r="L21" i="16"/>
  <c r="G21" i="17"/>
  <c r="H21" i="17"/>
  <c r="D8" i="6" s="1"/>
  <c r="F21" i="18"/>
  <c r="F9" i="6" s="1"/>
  <c r="M21" i="18" l="1"/>
  <c r="H9" i="6" s="1"/>
  <c r="L21" i="17"/>
  <c r="I21" i="17"/>
  <c r="E8" i="6" s="1"/>
  <c r="G21" i="18"/>
  <c r="I21" i="18" l="1"/>
  <c r="E9" i="6" s="1"/>
  <c r="L21" i="18"/>
  <c r="H21" i="18"/>
  <c r="D9" i="6" s="1"/>
</calcChain>
</file>

<file path=xl/sharedStrings.xml><?xml version="1.0" encoding="utf-8"?>
<sst xmlns="http://schemas.openxmlformats.org/spreadsheetml/2006/main" count="541" uniqueCount="63">
  <si>
    <t>Octobre</t>
  </si>
  <si>
    <t>Novembre</t>
  </si>
  <si>
    <t>Décembre</t>
  </si>
  <si>
    <t>Janvier</t>
  </si>
  <si>
    <t>Février</t>
  </si>
  <si>
    <t>Charge Initiale</t>
  </si>
  <si>
    <t>Tâche</t>
  </si>
  <si>
    <t>Qui</t>
  </si>
  <si>
    <t>Coût Initial (€)</t>
  </si>
  <si>
    <t>Coût Révisé (€)</t>
  </si>
  <si>
    <t>Coût Réel</t>
  </si>
  <si>
    <t>Chef de projet</t>
  </si>
  <si>
    <t>Spécifications</t>
  </si>
  <si>
    <t>Total</t>
  </si>
  <si>
    <t>Septembre</t>
  </si>
  <si>
    <t>Rôles</t>
  </si>
  <si>
    <t>Chef de Projet</t>
  </si>
  <si>
    <t>Rédaction des spécifications</t>
  </si>
  <si>
    <t>Phase</t>
  </si>
  <si>
    <t>Initialisation</t>
  </si>
  <si>
    <t>Conception générale</t>
  </si>
  <si>
    <t>Conception détaillé</t>
  </si>
  <si>
    <t>Réalisation</t>
  </si>
  <si>
    <t>Tests unitaires</t>
  </si>
  <si>
    <t>Test d'intégration</t>
  </si>
  <si>
    <t>Validation</t>
  </si>
  <si>
    <t>Quantité d'heure</t>
  </si>
  <si>
    <t>Validation Liste</t>
  </si>
  <si>
    <t>Oui</t>
  </si>
  <si>
    <t>Non</t>
  </si>
  <si>
    <t>Validation / Recette</t>
  </si>
  <si>
    <t>Clôture du projet</t>
  </si>
  <si>
    <t>Rédaction du plan de développement</t>
  </si>
  <si>
    <t>Appropriation du projet existant</t>
  </si>
  <si>
    <t>Rédaction de la FOP</t>
  </si>
  <si>
    <t>Préparation du Kick-Off</t>
  </si>
  <si>
    <t>Spécification des améliorations logiciel</t>
  </si>
  <si>
    <t>Spécification des besoins utilisateur</t>
  </si>
  <si>
    <t>Rédaction du SF1N</t>
  </si>
  <si>
    <t>Rédaction du diagramme des classes</t>
  </si>
  <si>
    <t>Rédaction du diagramme des cas d'utilisations</t>
  </si>
  <si>
    <t>Rédaction du diagramme des flots de données</t>
  </si>
  <si>
    <t>Appréhention des programmes existants</t>
  </si>
  <si>
    <t>Programmation / Modification des programmes</t>
  </si>
  <si>
    <t>Test du programme par fonctions</t>
  </si>
  <si>
    <t>Tests du fonctionnement global</t>
  </si>
  <si>
    <t>Validation du fonctionnement avec le client</t>
  </si>
  <si>
    <t>Correction des réserves</t>
  </si>
  <si>
    <t>Colôture</t>
  </si>
  <si>
    <t>Rédaction des tests</t>
  </si>
  <si>
    <t>Coût Réel (€)</t>
  </si>
  <si>
    <t>Charge Initiale (h)</t>
  </si>
  <si>
    <t>Temps Passé Période (h)</t>
  </si>
  <si>
    <t>Temps Passé Cumul (h)</t>
  </si>
  <si>
    <t>Reste à Passer (h)</t>
  </si>
  <si>
    <t>Charge Révisée (h)</t>
  </si>
  <si>
    <t>Écart de Charge (h)</t>
  </si>
  <si>
    <t>Prix de Revient Unitaire (€)</t>
  </si>
  <si>
    <t>Charge Révisée</t>
  </si>
  <si>
    <t>Temps Passé Cumulé</t>
  </si>
  <si>
    <t>Ecart de Charge Total</t>
  </si>
  <si>
    <t>Coût Initial</t>
  </si>
  <si>
    <t>Avancement (TPC+ECT)/CR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</si>
</sst>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0" fillId="0" borderId="1" xfId="0" applyBorder="1"/>
    <xf numFmtId="0" fontId="3" fillId="0" borderId="1" xfId="0" applyFont="1" applyBorder="1" applyAlignment="1">
      <alignment vertical="center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3" fillId="3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4" fillId="4" borderId="5" xfId="0" applyFont="1" applyFill="1" applyBorder="1"/>
    <xf numFmtId="0" fontId="1" fillId="5" borderId="7" xfId="0" applyFont="1" applyFill="1" applyBorder="1"/>
    <xf numFmtId="0" fontId="1" fillId="2" borderId="7" xfId="0" applyFont="1" applyFill="1" applyBorder="1"/>
    <xf numFmtId="0" fontId="0" fillId="0" borderId="10" xfId="0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0" fillId="5" borderId="1" xfId="0" applyFill="1" applyBorder="1"/>
    <xf numFmtId="0" fontId="0" fillId="2" borderId="1" xfId="0" applyFill="1" applyBorder="1"/>
    <xf numFmtId="0" fontId="1" fillId="6" borderId="1" xfId="0" applyFont="1" applyFill="1" applyBorder="1"/>
    <xf numFmtId="0" fontId="0" fillId="6" borderId="1" xfId="0" applyFill="1" applyBorder="1"/>
    <xf numFmtId="0" fontId="1" fillId="6" borderId="1" xfId="0" applyFont="1" applyFill="1" applyBorder="1" applyAlignment="1">
      <alignment horizontal="center"/>
    </xf>
    <xf numFmtId="0" fontId="1" fillId="6" borderId="7" xfId="0" applyFont="1" applyFill="1" applyBorder="1"/>
    <xf numFmtId="2" fontId="1" fillId="6" borderId="1" xfId="0" applyNumberFormat="1" applyFont="1" applyFill="1" applyBorder="1" applyAlignment="1">
      <alignment horizontal="center"/>
    </xf>
    <xf numFmtId="0" fontId="1" fillId="7" borderId="1" xfId="0" applyFont="1" applyFill="1" applyBorder="1"/>
    <xf numFmtId="0" fontId="0" fillId="7" borderId="1" xfId="0" applyFill="1" applyBorder="1"/>
    <xf numFmtId="0" fontId="1" fillId="7" borderId="1" xfId="0" applyFont="1" applyFill="1" applyBorder="1" applyAlignment="1">
      <alignment horizontal="center"/>
    </xf>
    <xf numFmtId="0" fontId="1" fillId="7" borderId="7" xfId="0" applyFont="1" applyFill="1" applyBorder="1"/>
    <xf numFmtId="0" fontId="3" fillId="8" borderId="6" xfId="0" applyFont="1" applyFill="1" applyBorder="1" applyAlignment="1">
      <alignment horizontal="center" vertical="center"/>
    </xf>
    <xf numFmtId="0" fontId="1" fillId="8" borderId="1" xfId="0" applyFont="1" applyFill="1" applyBorder="1"/>
    <xf numFmtId="0" fontId="0" fillId="8" borderId="1" xfId="0" applyFill="1" applyBorder="1"/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/>
    <xf numFmtId="0" fontId="3" fillId="9" borderId="6" xfId="0" applyFont="1" applyFill="1" applyBorder="1" applyAlignment="1">
      <alignment horizontal="center" vertical="center"/>
    </xf>
    <xf numFmtId="0" fontId="1" fillId="9" borderId="1" xfId="0" applyFont="1" applyFill="1" applyBorder="1"/>
    <xf numFmtId="0" fontId="0" fillId="9" borderId="1" xfId="0" applyFill="1" applyBorder="1"/>
    <xf numFmtId="0" fontId="1" fillId="9" borderId="1" xfId="0" applyFont="1" applyFill="1" applyBorder="1" applyAlignment="1">
      <alignment horizontal="center"/>
    </xf>
    <xf numFmtId="0" fontId="1" fillId="9" borderId="7" xfId="0" applyFont="1" applyFill="1" applyBorder="1"/>
    <xf numFmtId="0" fontId="3" fillId="10" borderId="6" xfId="0" applyFont="1" applyFill="1" applyBorder="1" applyAlignment="1">
      <alignment horizontal="center" vertical="center"/>
    </xf>
    <xf numFmtId="0" fontId="1" fillId="10" borderId="1" xfId="0" applyFont="1" applyFill="1" applyBorder="1"/>
    <xf numFmtId="0" fontId="0" fillId="10" borderId="1" xfId="0" applyFill="1" applyBorder="1"/>
    <xf numFmtId="0" fontId="1" fillId="10" borderId="1" xfId="0" applyFont="1" applyFill="1" applyBorder="1" applyAlignment="1">
      <alignment horizontal="center"/>
    </xf>
    <xf numFmtId="0" fontId="1" fillId="10" borderId="7" xfId="0" applyFont="1" applyFill="1" applyBorder="1"/>
    <xf numFmtId="0" fontId="1" fillId="11" borderId="1" xfId="0" applyFont="1" applyFill="1" applyBorder="1"/>
    <xf numFmtId="0" fontId="1" fillId="11" borderId="1" xfId="0" applyFont="1" applyFill="1" applyBorder="1" applyAlignment="1">
      <alignment horizontal="center"/>
    </xf>
    <xf numFmtId="0" fontId="1" fillId="11" borderId="7" xfId="0" applyFont="1" applyFill="1" applyBorder="1"/>
    <xf numFmtId="0" fontId="5" fillId="12" borderId="6" xfId="0" applyFont="1" applyFill="1" applyBorder="1" applyAlignment="1">
      <alignment horizontal="center" vertical="center"/>
    </xf>
    <xf numFmtId="0" fontId="6" fillId="12" borderId="1" xfId="0" applyFont="1" applyFill="1" applyBorder="1"/>
    <xf numFmtId="0" fontId="6" fillId="12" borderId="1" xfId="0" applyFont="1" applyFill="1" applyBorder="1" applyAlignment="1">
      <alignment horizontal="center"/>
    </xf>
    <xf numFmtId="0" fontId="6" fillId="12" borderId="7" xfId="0" applyFont="1" applyFill="1" applyBorder="1"/>
    <xf numFmtId="0" fontId="0" fillId="0" borderId="18" xfId="0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3" fillId="0" borderId="24" xfId="0" applyFont="1" applyBorder="1"/>
    <xf numFmtId="10" fontId="0" fillId="0" borderId="25" xfId="0" applyNumberFormat="1" applyBorder="1"/>
    <xf numFmtId="10" fontId="0" fillId="0" borderId="26" xfId="0" applyNumberFormat="1" applyBorder="1"/>
    <xf numFmtId="0" fontId="0" fillId="0" borderId="17" xfId="0" applyBorder="1"/>
    <xf numFmtId="0" fontId="0" fillId="0" borderId="27" xfId="0" applyBorder="1"/>
    <xf numFmtId="0" fontId="3" fillId="0" borderId="25" xfId="0" applyFont="1" applyBorder="1"/>
    <xf numFmtId="0" fontId="3" fillId="0" borderId="26" xfId="0" applyFont="1" applyBorder="1"/>
    <xf numFmtId="0" fontId="0" fillId="0" borderId="28" xfId="0" applyBorder="1"/>
    <xf numFmtId="10" fontId="0" fillId="0" borderId="29" xfId="0" applyNumberFormat="1" applyBorder="1"/>
    <xf numFmtId="0" fontId="3" fillId="0" borderId="30" xfId="0" applyFont="1" applyBorder="1"/>
    <xf numFmtId="0" fontId="3" fillId="0" borderId="31" xfId="0" applyFont="1" applyBorder="1"/>
    <xf numFmtId="0" fontId="3" fillId="0" borderId="32" xfId="0" applyFont="1" applyBorder="1"/>
    <xf numFmtId="0" fontId="3" fillId="0" borderId="20" xfId="0" applyFont="1" applyBorder="1"/>
    <xf numFmtId="0" fontId="3" fillId="5" borderId="6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/>
    </xf>
    <xf numFmtId="0" fontId="3" fillId="11" borderId="9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16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</dxfs>
  <tableStyles count="0" defaultTableStyle="TableStyleMedium2" defaultPivotStyle="PivotStyleMedium9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Avancement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Synthèse!$I$3</c:f>
              <c:strCache>
                <c:ptCount val="1"/>
                <c:pt idx="0">
                  <c:v>Avancement (TPC+ECT)/CR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Synthèse!$B$4:$B$9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Synthèse!$I$4:$I$9</c:f>
              <c:numCache>
                <c:formatCode>0.00%</c:formatCode>
                <c:ptCount val="6"/>
                <c:pt idx="0">
                  <c:v>0.10416666666666667</c:v>
                </c:pt>
                <c:pt idx="1">
                  <c:v>0.30927835051546393</c:v>
                </c:pt>
                <c:pt idx="2">
                  <c:v>0.30927835051546393</c:v>
                </c:pt>
                <c:pt idx="3">
                  <c:v>0.30927835051546393</c:v>
                </c:pt>
                <c:pt idx="4">
                  <c:v>0.30927835051546393</c:v>
                </c:pt>
                <c:pt idx="5">
                  <c:v>0.30927835051546393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06-4206-9358-6B569B92725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36492432"/>
        <c:axId val="836493152"/>
      </c:lineChart>
      <c:catAx>
        <c:axId val="83649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6493152"/>
        <c:crosses val="autoZero"/>
        <c:auto val="1"/>
        <c:lblAlgn val="ctr"/>
        <c:lblOffset val="100"/>
        <c:noMultiLvlLbl val="0"/>
      </c:catAx>
      <c:valAx>
        <c:axId val="8364931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649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Coûts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Synthèse!$H$3</c:f>
              <c:strCache>
                <c:ptCount val="1"/>
                <c:pt idx="0">
                  <c:v>Coût Réel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Synthèse!$B$4:$B$9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Synthèse!$H$4:$H$9</c:f>
              <c:numCache>
                <c:formatCode>General</c:formatCode>
                <c:ptCount val="6"/>
                <c:pt idx="0">
                  <c:v>350</c:v>
                </c:pt>
                <c:pt idx="1">
                  <c:v>1050</c:v>
                </c:pt>
                <c:pt idx="2">
                  <c:v>1050</c:v>
                </c:pt>
                <c:pt idx="3">
                  <c:v>1050</c:v>
                </c:pt>
                <c:pt idx="4">
                  <c:v>1050</c:v>
                </c:pt>
                <c:pt idx="5">
                  <c:v>1050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B1-4446-A4A1-624F855EC1E4}"/>
            </c:ext>
          </c:extLst>
        </c:ser>
        <c:ser>
          <c:idx val="1"/>
          <c:order val="1"/>
          <c:tx>
            <c:strRef>
              <c:f>Synthèse!$G$3</c:f>
              <c:strCache>
                <c:ptCount val="1"/>
                <c:pt idx="0">
                  <c:v>Coût Initial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C88-4E19-8871-17E92F81BCE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C88-4E19-8871-17E92F81BCE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C88-4E19-8871-17E92F81BCE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C88-4E19-8871-17E92F81BCE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365345640544863"/>
                      <c:h val="0.1764950363629312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C88-4E19-8871-17E92F81BC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Synthèse!$B$4:$B$9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Synthèse!$G$4:$G$9</c:f>
              <c:numCache>
                <c:formatCode>General</c:formatCode>
                <c:ptCount val="6"/>
                <c:pt idx="0">
                  <c:v>3290</c:v>
                </c:pt>
                <c:pt idx="1">
                  <c:v>3290</c:v>
                </c:pt>
                <c:pt idx="2">
                  <c:v>3290</c:v>
                </c:pt>
                <c:pt idx="3">
                  <c:v>3290</c:v>
                </c:pt>
                <c:pt idx="4">
                  <c:v>3290</c:v>
                </c:pt>
                <c:pt idx="5">
                  <c:v>3290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B1-4446-A4A1-624F855EC1E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37868824"/>
        <c:axId val="837864864"/>
      </c:lineChart>
      <c:catAx>
        <c:axId val="837868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7864864"/>
        <c:crosses val="autoZero"/>
        <c:auto val="1"/>
        <c:lblAlgn val="ctr"/>
        <c:lblOffset val="100"/>
        <c:noMultiLvlLbl val="0"/>
      </c:catAx>
      <c:valAx>
        <c:axId val="83786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7868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Écart de Charge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Synthèse!$B$4:$B$9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Synthèse!$E$4:$E$9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F1-4298-8ABF-D0620FD7692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38053791"/>
        <c:axId val="838062431"/>
      </c:lineChart>
      <c:catAx>
        <c:axId val="838053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8062431"/>
        <c:crosses val="autoZero"/>
        <c:auto val="1"/>
        <c:lblAlgn val="ctr"/>
        <c:lblOffset val="100"/>
        <c:noMultiLvlLbl val="0"/>
      </c:catAx>
      <c:valAx>
        <c:axId val="83806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 h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8053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828675</xdr:colOff>
      <xdr:row>10</xdr:row>
      <xdr:rowOff>6745</xdr:rowOff>
    </xdr:from>
    <xdr:to>
      <xdr:col>11</xdr:col>
      <xdr:colOff>280987</xdr:colOff>
      <xdr:row>25</xdr:row>
      <xdr:rowOff>14287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9E7C97A-C03A-48A8-B02A-F07A633BF2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241102</xdr:colOff>
      <xdr:row>10</xdr:row>
      <xdr:rowOff>16271</xdr:rowOff>
    </xdr:from>
    <xdr:to>
      <xdr:col>5</xdr:col>
      <xdr:colOff>790575</xdr:colOff>
      <xdr:row>25</xdr:row>
      <xdr:rowOff>14287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C083FAC-1E9D-9FD7-6B9A-B81F463912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242886</xdr:colOff>
      <xdr:row>25</xdr:row>
      <xdr:rowOff>47625</xdr:rowOff>
    </xdr:from>
    <xdr:to>
      <xdr:col>11</xdr:col>
      <xdr:colOff>280987</xdr:colOff>
      <xdr:row>40</xdr:row>
      <xdr:rowOff>66675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EBE132B-FF5B-61C1-5B4E-81A5CC3E99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0A3744-8D5A-46F5-AA97-C9B422BD0D1F}" name="Septembre" displayName="Septembre" ref="B1:M21" totalsRowCount="1" headerRowDxfId="162" dataDxfId="160" headerRowBorderDxfId="161" tableBorderDxfId="159">
  <autoFilter ref="B1:M20" xr:uid="{440A3744-8D5A-46F5-AA97-C9B422BD0D1F}"/>
  <tableColumns count="12">
    <tableColumn id="1" xr3:uid="{97048463-914E-4E71-899C-76482CCB2C44}" name="Tâche" totalsRowLabel="Total" dataDxfId="158" totalsRowDxfId="157"/>
    <tableColumn id="11" xr3:uid="{4BFBC204-AA89-4602-9E59-84856EE959ED}" name="Qui" dataDxfId="156" totalsRowDxfId="155"/>
    <tableColumn id="2" xr3:uid="{76B9C57E-5ECA-4A3D-93E1-B8FFF04F5B11}" name="Charge Initiale (h)" totalsRowFunction="sum" dataDxfId="154" totalsRowDxfId="153"/>
    <tableColumn id="3" xr3:uid="{BEC0BCD5-FE1D-4FC8-8269-940A08E66084}" name="Temps Passé Période (h)" totalsRowFunction="sum" dataDxfId="152" totalsRowDxfId="151"/>
    <tableColumn id="10" xr3:uid="{11D169F4-5914-4E75-A26C-2FEF6011DC9D}" name="Temps Passé Cumul (h)" totalsRowFunction="sum" dataDxfId="150" totalsRowDxfId="149">
      <calculatedColumnFormula>Septembre[[#This Row],[Temps Passé Période (h)]]</calculatedColumnFormula>
    </tableColumn>
    <tableColumn id="4" xr3:uid="{67127178-B079-4D11-8494-79BD60908F36}" name="Reste à Passer (h)" totalsRowFunction="sum" dataDxfId="148" totalsRowDxfId="147">
      <calculatedColumnFormula>MAX(Septembre[[#This Row],[Charge Initiale (h)]]-Septembre[[#This Row],[Temps Passé Cumul (h)]], 0)</calculatedColumnFormula>
    </tableColumn>
    <tableColumn id="5" xr3:uid="{C9A1B790-E893-4A05-A3AF-41AF5BA0EDD9}" name="Charge Révisée (h)" totalsRowFunction="sum" dataDxfId="146" totalsRowDxfId="145">
      <calculatedColumnFormula>Septembre[[#This Row],[Temps Passé Cumul (h)]]+Septembre[[#This Row],[Reste à Passer (h)]]</calculatedColumnFormula>
    </tableColumn>
    <tableColumn id="6" xr3:uid="{C58085A2-2576-4177-8B55-94D78BE58A38}" name="Écart de Charge (h)" totalsRowFunction="sum" dataDxfId="144" totalsRowDxfId="143">
      <calculatedColumnFormula>Septembre[[#This Row],[Charge Initiale (h)]]-Septembre[[#This Row],[Charge Révisée (h)]]</calculatedColumnFormula>
    </tableColumn>
    <tableColumn id="7" xr3:uid="{D12D9132-08E2-4999-9183-12EA949645C0}" name="Prix de Revient Unitaire (€)" totalsRowFunction="sum" dataDxfId="142" totalsRowDxfId="141">
      <calculatedColumnFormula>IF(Septembre[[#This Row],[Qui]]="Chef de projet","35",IF(Septembre[[#This Row],[Qui]]="Ingénieur Electronique","32",IF(Septembre[[#This Row],[Qui]]="Ingénieur qualité","36",IF(Septembre[[#This Row],[Qui]]="Ingénieur Développement",30,IF(Septembre[[#This Row],[Qui]]="Ingénieur Mécanique",34,"")))))</calculatedColumnFormula>
    </tableColumn>
    <tableColumn id="9" xr3:uid="{F46F5BD8-68AA-498F-B317-2D5848E086E8}" name="Coût Initial (€)" totalsRowFunction="sum" dataDxfId="140" totalsRowDxfId="139">
      <calculatedColumnFormula>Septembre[[#This Row],[Charge Initiale (h)]]*Septembre[[#This Row],[Prix de Revient Unitaire (€)]]</calculatedColumnFormula>
    </tableColumn>
    <tableColumn id="8" xr3:uid="{020C3B07-B752-40E8-B385-36CA11990C0C}" name="Coût Révisé (€)" totalsRowFunction="sum" dataDxfId="138" totalsRowDxfId="137">
      <calculatedColumnFormula>Septembre[[#This Row],[Charge Révisée (h)]]*Septembre[[#This Row],[Prix de Revient Unitaire (€)]]</calculatedColumnFormula>
    </tableColumn>
    <tableColumn id="12" xr3:uid="{3FDEFECF-8154-4581-859B-580BE23A82CE}" name="Coût Réel (€)" totalsRowFunction="sum" dataDxfId="136" totalsRowDxfId="135">
      <calculatedColumnFormula>Septembre[[#This Row],[Prix de Revient Unitaire (€)]]*Septembre[[#This Row],[Temps Passé Cumul (h)]]</calculatedColumnFormula>
    </tableColumn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F57EBBF-86EB-4137-B57F-8A0217F9ADC6}" name="Octobre" displayName="Octobre" ref="B1:M21" totalsRowCount="1" headerRowDxfId="134" headerRowBorderDxfId="133" tableBorderDxfId="132">
  <autoFilter ref="B1:M20" xr:uid="{6F57EBBF-86EB-4137-B57F-8A0217F9ADC6}"/>
  <tableColumns count="12">
    <tableColumn id="1" xr3:uid="{65BD282E-39C9-49DE-8BA7-432AFCEA87AE}" name="Tâche" totalsRowLabel="Total" dataDxfId="131" totalsRowDxfId="130"/>
    <tableColumn id="11" xr3:uid="{29478144-3718-44A1-8FCB-38C3AF2C1B3A}" name="Qui" dataDxfId="129" totalsRowDxfId="128"/>
    <tableColumn id="2" xr3:uid="{BAECDE07-CEC6-4741-96A6-61169C81311D}" name="Charge Initiale (h)" totalsRowFunction="sum" dataDxfId="127" totalsRowDxfId="126"/>
    <tableColumn id="3" xr3:uid="{638B513C-B371-41F8-A550-1FFD1A13CCC3}" name="Temps Passé Période (h)" totalsRowFunction="sum" dataDxfId="125" totalsRowDxfId="124"/>
    <tableColumn id="10" xr3:uid="{64CD364A-D414-4850-866B-40E75F07E74E}" name="Temps Passé Cumul (h)" totalsRowFunction="sum" dataDxfId="123" totalsRowDxfId="122"/>
    <tableColumn id="4" xr3:uid="{AA4F8F9A-8CD4-49CD-9823-A6704AF53CFA}" name="Reste à Passer (h)" totalsRowFunction="sum" dataDxfId="121" totalsRowDxfId="120">
      <calculatedColumnFormula>MAX(Octobre[[#This Row],[Charge Initiale (h)]]-Octobre[[#This Row],[Temps Passé Cumul (h)]], 0)</calculatedColumnFormula>
    </tableColumn>
    <tableColumn id="5" xr3:uid="{172D518F-9977-49EF-9C07-0E6FD02D88CA}" name="Charge Révisée (h)" totalsRowFunction="sum" dataDxfId="119" totalsRowDxfId="118">
      <calculatedColumnFormula>Octobre[[#This Row],[Temps Passé Cumul (h)]]+Octobre[[#This Row],[Reste à Passer (h)]]</calculatedColumnFormula>
    </tableColumn>
    <tableColumn id="6" xr3:uid="{7831D5D3-2AA8-48A3-96CD-EAB79897DC40}" name="Écart de Charge (h)" totalsRowFunction="sum" dataDxfId="117" totalsRowDxfId="116">
      <calculatedColumnFormula>Octobre[[#This Row],[Charge Initiale (h)]]-Octobre[[#This Row],[Charge Révisée (h)]]</calculatedColumnFormula>
    </tableColumn>
    <tableColumn id="7" xr3:uid="{74ECFF7A-2D0D-4B5C-A12C-1B6AA1B7BBD2}" name="Prix de Revient Unitaire (€)" totalsRowFunction="sum" dataDxfId="115" totalsRowDxfId="114">
      <calculatedColumnFormula>IF(Octobre[[#This Row],[Qui]]="Chef de projet","35",IF(Octobre[[#This Row],[Qui]]="Ingénieur Electronique","32",IF(Octobre[[#This Row],[Qui]]="Ingénieur qualité","36",IF(Octobre[[#This Row],[Qui]]="Ingénieur Développement",30,IF(Octobre[[#This Row],[Qui]]="Ingénieur Mécanique",34,"")))))</calculatedColumnFormula>
    </tableColumn>
    <tableColumn id="9" xr3:uid="{D31AD353-12F9-4F92-882A-E2476051EC11}" name="Coût Initial (€)" totalsRowFunction="sum" dataDxfId="113" totalsRowDxfId="112">
      <calculatedColumnFormula>Octobre[[#This Row],[Charge Initiale (h)]]*Octobre[[#This Row],[Prix de Revient Unitaire (€)]]</calculatedColumnFormula>
    </tableColumn>
    <tableColumn id="8" xr3:uid="{8AB51B16-EC76-4305-83E7-912BC582C3EB}" name="Coût Révisé (€)" totalsRowFunction="sum" dataDxfId="111" totalsRowDxfId="110">
      <calculatedColumnFormula>Octobre[[#This Row],[Charge Révisée (h)]]*Octobre[[#This Row],[Prix de Revient Unitaire (€)]]</calculatedColumnFormula>
    </tableColumn>
    <tableColumn id="12" xr3:uid="{41EA0F58-44F3-472C-8311-3B965AB492C7}" name="Coût Réel (€)" totalsRowFunction="sum" dataDxfId="109" totalsRowDxfId="108">
      <calculatedColumnFormula>Octobre[[#This Row],[Prix de Revient Unitaire (€)]]*Octobre[[#This Row],[Temps Passé Cumul (h)]]</calculatedColumnFormula>
    </tableColumn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4544CE7-6650-43AB-8D25-B3FF65DD924F}" name="Novembre" displayName="Novembre" ref="B1:M21" totalsRowCount="1" headerRowDxfId="107" headerRowBorderDxfId="106" tableBorderDxfId="105">
  <autoFilter ref="B1:M20" xr:uid="{6F57EBBF-86EB-4137-B57F-8A0217F9ADC6}"/>
  <tableColumns count="12">
    <tableColumn id="1" xr3:uid="{D205FF40-E8D8-44BA-BF53-7A460550A219}" name="Tâche" totalsRowLabel="Total" dataDxfId="104" totalsRowDxfId="103"/>
    <tableColumn id="11" xr3:uid="{4C376DE5-AED0-4D8A-9E02-F7CF49BC7B66}" name="Qui" dataDxfId="102" totalsRowDxfId="101"/>
    <tableColumn id="2" xr3:uid="{277F8DB9-F6F8-437D-A995-ACCB63C5395B}" name="Charge Initiale (h)" totalsRowFunction="sum" dataDxfId="100" totalsRowDxfId="99"/>
    <tableColumn id="3" xr3:uid="{D4570761-250E-4A35-9365-1CE4AC2DE1AB}" name="Temps Passé Période (h)" totalsRowFunction="sum" dataDxfId="98" totalsRowDxfId="97"/>
    <tableColumn id="10" xr3:uid="{DF01A23B-EF93-42B7-82FB-E0F30D00A15A}" name="Temps Passé Cumul (h)" totalsRowFunction="sum" dataDxfId="96" totalsRowDxfId="95">
      <calculatedColumnFormula>Novembre[[#This Row],[Temps Passé Période (h)]]+Octobre[[#This Row],[Temps Passé Cumul (h)]]</calculatedColumnFormula>
    </tableColumn>
    <tableColumn id="4" xr3:uid="{0D6CE87B-01F8-4E05-8B91-EF6FC4F6BFAB}" name="Reste à Passer (h)" totalsRowFunction="sum" dataDxfId="94" totalsRowDxfId="93">
      <calculatedColumnFormula>MAX(Novembre[[#This Row],[Charge Initiale (h)]]-Novembre[[#This Row],[Temps Passé Cumul (h)]], 0)</calculatedColumnFormula>
    </tableColumn>
    <tableColumn id="5" xr3:uid="{AF83D2C7-799D-40E9-B23D-64ED4A625204}" name="Charge Révisée (h)" totalsRowFunction="sum" dataDxfId="92" totalsRowDxfId="91">
      <calculatedColumnFormula>Novembre[[#This Row],[Temps Passé Cumul (h)]]+Novembre[[#This Row],[Reste à Passer (h)]]</calculatedColumnFormula>
    </tableColumn>
    <tableColumn id="6" xr3:uid="{FFDDD085-2593-40D0-A0CE-1B2B440251DF}" name="Écart de Charge (h)" totalsRowFunction="sum" dataDxfId="90" totalsRowDxfId="89">
      <calculatedColumnFormula>Novembre[[#This Row],[Charge Initiale (h)]]-Novembre[[#This Row],[Charge Révisée (h)]]</calculatedColumnFormula>
    </tableColumn>
    <tableColumn id="7" xr3:uid="{E9806D3C-1F46-45D7-9F0C-91700D604697}" name="Prix de Revient Unitaire (€)" totalsRowFunction="sum" dataDxfId="88" totalsRowDxfId="87">
      <calculatedColumnFormula>IF(Novembre[[#This Row],[Qui]]="Chef de projet","35",IF(Novembre[[#This Row],[Qui]]="Ingénieur Electronique","32",IF(Novembre[[#This Row],[Qui]]="Ingénieur qualité","36",IF(Novembre[[#This Row],[Qui]]="Ingénieur Développement",30,IF(Novembre[[#This Row],[Qui]]="Ingénieur Mécanique",34,"")))))</calculatedColumnFormula>
    </tableColumn>
    <tableColumn id="9" xr3:uid="{74E78CCF-D6DE-4B95-96C1-81F4B8599DEC}" name="Coût Initial (€)" totalsRowFunction="sum" dataDxfId="86" totalsRowDxfId="85">
      <calculatedColumnFormula>Novembre[[#This Row],[Charge Initiale (h)]]*Novembre[[#This Row],[Prix de Revient Unitaire (€)]]</calculatedColumnFormula>
    </tableColumn>
    <tableColumn id="8" xr3:uid="{E11BAC88-1C69-46B9-B099-F647E399DCD2}" name="Coût Révisé (€)" totalsRowFunction="sum" dataDxfId="84" totalsRowDxfId="83">
      <calculatedColumnFormula>Novembre[[#This Row],[Charge Révisée (h)]]*Novembre[[#This Row],[Prix de Revient Unitaire (€)]]</calculatedColumnFormula>
    </tableColumn>
    <tableColumn id="12" xr3:uid="{424571F4-6EA2-484E-9642-3B80B1DB67FB}" name="Coût Réel (€)" totalsRowFunction="sum" dataDxfId="82" totalsRowDxfId="81">
      <calculatedColumnFormula>Novembre[[#This Row],[Prix de Revient Unitaire (€)]]*Novembre[[#This Row],[Temps Passé Cumul (h)]]</calculatedColumnFormula>
    </tableColumn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A8DE694-F99E-486D-92C5-F57F633BA7BC}" name="Décembre" displayName="Décembre" ref="B1:M21" totalsRowCount="1" headerRowDxfId="80" headerRowBorderDxfId="79" tableBorderDxfId="78">
  <autoFilter ref="B1:M20" xr:uid="{6F57EBBF-86EB-4137-B57F-8A0217F9ADC6}"/>
  <tableColumns count="12">
    <tableColumn id="1" xr3:uid="{34F7A11D-5056-4364-A7F1-9035968EECA5}" name="Tâche" totalsRowLabel="Total" dataDxfId="77" totalsRowDxfId="76"/>
    <tableColumn id="11" xr3:uid="{580D654B-6A46-4EDD-AC29-96DAB372A316}" name="Qui" dataDxfId="75" totalsRowDxfId="74"/>
    <tableColumn id="2" xr3:uid="{700216BD-3AD4-4DC8-AC75-F571E56C0E16}" name="Charge Initiale (h)" totalsRowFunction="sum" dataDxfId="73" totalsRowDxfId="72"/>
    <tableColumn id="3" xr3:uid="{95ECA186-F8B1-4A87-A89A-DB5264F68525}" name="Temps Passé Période (h)" totalsRowFunction="sum" dataDxfId="71" totalsRowDxfId="70"/>
    <tableColumn id="10" xr3:uid="{3F2117F4-7B2A-45B3-8B60-B2536DD0275B}" name="Temps Passé Cumul (h)" totalsRowFunction="sum" dataDxfId="69" totalsRowDxfId="68">
      <calculatedColumnFormula>Décembre[[#This Row],[Temps Passé Période (h)]]+Novembre[[#This Row],[Temps Passé Cumul (h)]]</calculatedColumnFormula>
    </tableColumn>
    <tableColumn id="4" xr3:uid="{EC51F5BC-E25E-4528-B05A-ED5881CCB44F}" name="Reste à Passer (h)" totalsRowFunction="sum" dataDxfId="67" totalsRowDxfId="66">
      <calculatedColumnFormula>MAX(Décembre[[#This Row],[Charge Initiale (h)]]-Décembre[[#This Row],[Temps Passé Cumul (h)]], 0)</calculatedColumnFormula>
    </tableColumn>
    <tableColumn id="5" xr3:uid="{71FE84E2-7632-4D6A-A6CC-FA5F5F7E9577}" name="Charge Révisée (h)" totalsRowFunction="sum" dataDxfId="65" totalsRowDxfId="64">
      <calculatedColumnFormula>Décembre[[#This Row],[Temps Passé Cumul (h)]]+Décembre[[#This Row],[Reste à Passer (h)]]</calculatedColumnFormula>
    </tableColumn>
    <tableColumn id="6" xr3:uid="{CEF7B2DE-4188-4F5F-8C1E-586D3913D5B3}" name="Écart de Charge (h)" totalsRowFunction="sum" dataDxfId="63" totalsRowDxfId="62">
      <calculatedColumnFormula>Décembre[[#This Row],[Charge Initiale (h)]]-Décembre[[#This Row],[Charge Révisée (h)]]</calculatedColumnFormula>
    </tableColumn>
    <tableColumn id="7" xr3:uid="{F376131A-CCA0-4DB2-99E8-1300DA46DDD2}" name="Prix de Revient Unitaire (€)" totalsRowFunction="sum" dataDxfId="61" totalsRowDxfId="60">
      <calculatedColumnFormula>IF(Décembre[[#This Row],[Qui]]="Chef de projet","35",IF(Décembre[[#This Row],[Qui]]="Ingénieur Electronique","32",IF(Décembre[[#This Row],[Qui]]="Ingénieur qualité","36",IF(Décembre[[#This Row],[Qui]]="Ingénieur Développement",30,IF(Décembre[[#This Row],[Qui]]="Ingénieur Mécanique",34,"")))))</calculatedColumnFormula>
    </tableColumn>
    <tableColumn id="9" xr3:uid="{264E2A4F-E75B-4A1C-AE28-EA901CFA2B98}" name="Coût Initial (€)" totalsRowFunction="sum" dataDxfId="59" totalsRowDxfId="58">
      <calculatedColumnFormula>Décembre[[#This Row],[Charge Initiale (h)]]*Décembre[[#This Row],[Prix de Revient Unitaire (€)]]</calculatedColumnFormula>
    </tableColumn>
    <tableColumn id="8" xr3:uid="{1D965882-497B-4901-82B7-C13D0472B00A}" name="Coût Révisé (€)" totalsRowFunction="sum" dataDxfId="57" totalsRowDxfId="56">
      <calculatedColumnFormula>Décembre[[#This Row],[Charge Révisée (h)]]*Décembre[[#This Row],[Prix de Revient Unitaire (€)]]</calculatedColumnFormula>
    </tableColumn>
    <tableColumn id="12" xr3:uid="{104F4440-7C99-4867-8813-8B929E08C741}" name="Coût Réel (€)" totalsRowFunction="sum" dataDxfId="55" totalsRowDxfId="54">
      <calculatedColumnFormula>Décembre[[#This Row],[Prix de Revient Unitaire (€)]]*Décembre[[#This Row],[Temps Passé Cumul (h)]]</calculatedColumnFormula>
    </tableColumn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1E85A28-8134-4528-914A-0376609A57F6}" name="Janvier" displayName="Janvier" ref="B1:M21" totalsRowCount="1" headerRowDxfId="53" headerRowBorderDxfId="52" tableBorderDxfId="51">
  <autoFilter ref="B1:M20" xr:uid="{6F57EBBF-86EB-4137-B57F-8A0217F9ADC6}"/>
  <tableColumns count="12">
    <tableColumn id="1" xr3:uid="{21E1BB41-371F-4F84-9E74-68CBDA5B6B79}" name="Tâche" totalsRowLabel="Total" dataDxfId="50" totalsRowDxfId="49"/>
    <tableColumn id="11" xr3:uid="{0EFAE39E-FE42-4485-A0CC-361AB531B659}" name="Qui" dataDxfId="48" totalsRowDxfId="47"/>
    <tableColumn id="2" xr3:uid="{F34DAC5B-41AE-4895-B291-6EF22C9AB654}" name="Charge Initiale (h)" totalsRowFunction="sum" dataDxfId="46" totalsRowDxfId="45"/>
    <tableColumn id="3" xr3:uid="{5CC4BEA2-1A76-4D8B-994F-59A5C2C0800D}" name="Temps Passé Période (h)" totalsRowFunction="sum" dataDxfId="44" totalsRowDxfId="43"/>
    <tableColumn id="10" xr3:uid="{57B546D3-AD1F-4218-A0F8-6F2C028599FA}" name="Temps Passé Cumul (h)" totalsRowFunction="sum" dataDxfId="42" totalsRowDxfId="41">
      <calculatedColumnFormula>Janvier[[#This Row],[Temps Passé Période (h)]]+Décembre[[#This Row],[Temps Passé Cumul (h)]]</calculatedColumnFormula>
    </tableColumn>
    <tableColumn id="4" xr3:uid="{EC347690-3560-41DF-9EC4-7EF552B0FFC5}" name="Reste à Passer (h)" totalsRowFunction="sum" dataDxfId="40" totalsRowDxfId="39">
      <calculatedColumnFormula>MAX(Janvier[[#This Row],[Charge Initiale (h)]]-Janvier[[#This Row],[Temps Passé Cumul (h)]], 0)</calculatedColumnFormula>
    </tableColumn>
    <tableColumn id="5" xr3:uid="{06572344-BBF8-49DC-9A79-5EA9B349FF28}" name="Charge Révisée (h)" totalsRowFunction="sum" dataDxfId="38" totalsRowDxfId="37">
      <calculatedColumnFormula>Janvier[[#This Row],[Temps Passé Cumul (h)]]+Janvier[[#This Row],[Reste à Passer (h)]]</calculatedColumnFormula>
    </tableColumn>
    <tableColumn id="6" xr3:uid="{06F8759D-A3BB-4DF1-A30D-D97B02D24344}" name="Écart de Charge (h)" totalsRowFunction="sum" dataDxfId="36" totalsRowDxfId="35">
      <calculatedColumnFormula>Janvier[[#This Row],[Charge Initiale (h)]]-Janvier[[#This Row],[Charge Révisée (h)]]</calculatedColumnFormula>
    </tableColumn>
    <tableColumn id="7" xr3:uid="{52268DE5-920D-4FFF-81CF-F81F1EBF72CA}" name="Prix de Revient Unitaire (€)" totalsRowFunction="sum" dataDxfId="34" totalsRowDxfId="33">
      <calculatedColumnFormula>IF(Janvier[[#This Row],[Qui]]="Chef de projet","35",IF(Janvier[[#This Row],[Qui]]="Ingénieur Electronique","32",IF(Janvier[[#This Row],[Qui]]="Ingénieur qualité","36",IF(Janvier[[#This Row],[Qui]]="Ingénieur Développement",30,IF(Janvier[[#This Row],[Qui]]="Ingénieur Mécanique",34,"")))))</calculatedColumnFormula>
    </tableColumn>
    <tableColumn id="9" xr3:uid="{E0DC2B8A-B8E3-4427-812E-76B666543A75}" name="Coût Initial (€)" totalsRowFunction="sum" dataDxfId="32" totalsRowDxfId="31">
      <calculatedColumnFormula>Janvier[[#This Row],[Charge Initiale (h)]]*Janvier[[#This Row],[Prix de Revient Unitaire (€)]]</calculatedColumnFormula>
    </tableColumn>
    <tableColumn id="8" xr3:uid="{FE268A68-CCF8-4FD5-A6F2-E1BD8C050794}" name="Coût Révisé (€)" totalsRowFunction="sum" dataDxfId="30" totalsRowDxfId="29">
      <calculatedColumnFormula>Janvier[[#This Row],[Charge Révisée (h)]]*Janvier[[#This Row],[Prix de Revient Unitaire (€)]]</calculatedColumnFormula>
    </tableColumn>
    <tableColumn id="12" xr3:uid="{EF777645-54A6-4A27-9FD9-A328DEEDAA1F}" name="Coût Réel (€)" totalsRowFunction="sum" dataDxfId="28" totalsRowDxfId="27">
      <calculatedColumnFormula>Janvier[[#This Row],[Prix de Revient Unitaire (€)]]*Janvier[[#This Row],[Temps Passé Cumul (h)]]</calculatedColumnFormula>
    </tableColumn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B8EACC1-ABFA-47FD-85C4-24F0E4952741}" name="Février" displayName="Février" ref="B1:M21" totalsRowCount="1" headerRowDxfId="26" headerRowBorderDxfId="25" tableBorderDxfId="24">
  <autoFilter ref="B1:M20" xr:uid="{6F57EBBF-86EB-4137-B57F-8A0217F9ADC6}"/>
  <tableColumns count="12">
    <tableColumn id="1" xr3:uid="{A4B7BA25-41B7-4D15-98CC-737E33EE0578}" name="Tâche" totalsRowLabel="Total" dataDxfId="23" totalsRowDxfId="22"/>
    <tableColumn id="11" xr3:uid="{48F011C1-C37A-4FAC-B2A0-6BBA0CA88E37}" name="Qui" dataDxfId="21" totalsRowDxfId="20"/>
    <tableColumn id="2" xr3:uid="{E5313FC5-41D3-4C17-9AE2-86DF05CA6D08}" name="Charge Initiale (h)" totalsRowFunction="sum" dataDxfId="19" totalsRowDxfId="18"/>
    <tableColumn id="3" xr3:uid="{CAF1AA6B-05C6-4D0C-A44D-D04BC75B94EA}" name="Temps Passé Période (h)" totalsRowFunction="sum" dataDxfId="17" totalsRowDxfId="16"/>
    <tableColumn id="10" xr3:uid="{D19418ED-BF24-4CE0-A47A-5A0F594964B5}" name="Temps Passé Cumul (h)" totalsRowFunction="sum" dataDxfId="15" totalsRowDxfId="14">
      <calculatedColumnFormula>Février[[#This Row],[Temps Passé Période (h)]]+Janvier[[#This Row],[Temps Passé Cumul (h)]]</calculatedColumnFormula>
    </tableColumn>
    <tableColumn id="4" xr3:uid="{89F7D8F8-08EB-4F6F-A272-28DF18C527F4}" name="Reste à Passer (h)" totalsRowFunction="sum" dataDxfId="13" totalsRowDxfId="12">
      <calculatedColumnFormula>MAX(Février[[#This Row],[Charge Initiale (h)]]-Février[[#This Row],[Temps Passé Cumul (h)]], 0)</calculatedColumnFormula>
    </tableColumn>
    <tableColumn id="5" xr3:uid="{EB333233-16D4-4D11-9593-E6B92C48B691}" name="Charge Révisée (h)" totalsRowFunction="sum" dataDxfId="11" totalsRowDxfId="10">
      <calculatedColumnFormula>Février[[#This Row],[Temps Passé Cumul (h)]]+Février[[#This Row],[Reste à Passer (h)]]</calculatedColumnFormula>
    </tableColumn>
    <tableColumn id="6" xr3:uid="{0FD7A7BE-2E27-4830-AD7B-43C8B284DBCC}" name="Écart de Charge (h)" totalsRowFunction="sum" dataDxfId="9" totalsRowDxfId="8">
      <calculatedColumnFormula>Février[[#This Row],[Charge Initiale (h)]]-Février[[#This Row],[Charge Révisée (h)]]</calculatedColumnFormula>
    </tableColumn>
    <tableColumn id="7" xr3:uid="{27B82858-660A-46F8-AEDB-C38E1F404D5C}" name="Prix de Revient Unitaire (€)" totalsRowFunction="sum" dataDxfId="7" totalsRowDxfId="6">
      <calculatedColumnFormula>IF(Février[[#This Row],[Qui]]="Chef de projet","35",IF(Février[[#This Row],[Qui]]="Ingénieur Electronique","32",IF(Février[[#This Row],[Qui]]="Ingénieur qualité","36",IF(Février[[#This Row],[Qui]]="Ingénieur Développement",30,IF(Février[[#This Row],[Qui]]="Ingénieur Mécanique",34,"")))))</calculatedColumnFormula>
    </tableColumn>
    <tableColumn id="9" xr3:uid="{9A501B0A-B620-4EEB-825B-E62FB447A220}" name="Coût Initial (€)" totalsRowFunction="sum" dataDxfId="5" totalsRowDxfId="4">
      <calculatedColumnFormula>Février[[#This Row],[Charge Initiale (h)]]*Février[[#This Row],[Prix de Revient Unitaire (€)]]</calculatedColumnFormula>
    </tableColumn>
    <tableColumn id="8" xr3:uid="{B281454A-DABE-4046-99DD-10B100CADFBC}" name="Coût Révisé (€)" totalsRowFunction="sum" dataDxfId="3" totalsRowDxfId="2">
      <calculatedColumnFormula>Février[[#This Row],[Charge Révisée (h)]]*Février[[#This Row],[Prix de Revient Unitaire (€)]]</calculatedColumnFormula>
    </tableColumn>
    <tableColumn id="12" xr3:uid="{C2705483-9E88-43DD-9748-FB436E69AA1A}" name="Coût Réel (€)" totalsRowFunction="sum" dataDxfId="1" totalsRowDxfId="0">
      <calculatedColumnFormula>Février[[#This Row],[Prix de Revient Unitaire (€)]]*Février[[#This Row],[Temps Passé Cumul (h)]]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32E7A-65CA-4F1A-8E80-C43D95D9412E}">
  <sheetPr>
    <tabColor rgb="FFFFC000"/>
    <pageSetUpPr fitToPage="1"/>
  </sheetPr>
  <dimension ref="B2:I9"/>
  <sheetViews>
    <sheetView tabSelected="1" zoomScaleNormal="100" workbookViewId="0">
      <selection activeCell="I4" sqref="I4"/>
    </sheetView>
  </sheetViews>
  <sheetFormatPr baseColWidth="10" defaultColWidth="11.46484375" defaultRowHeight="14.25" x14ac:dyDescent="0.45"/>
  <cols>
    <col min="1" max="1" width="41.19921875" bestFit="1" customWidth="1"/>
    <col min="2" max="2" width="9.73046875" bestFit="1" customWidth="1"/>
    <col min="3" max="3" width="12.3984375" bestFit="1" customWidth="1"/>
    <col min="4" max="4" width="13.06640625" bestFit="1" customWidth="1"/>
    <col min="5" max="5" width="17.9296875" bestFit="1" customWidth="1"/>
    <col min="6" max="6" width="17.86328125" bestFit="1" customWidth="1"/>
    <col min="7" max="7" width="9.59765625" bestFit="1" customWidth="1"/>
    <col min="8" max="8" width="8.53125" bestFit="1" customWidth="1"/>
    <col min="9" max="9" width="22.3984375" bestFit="1" customWidth="1"/>
  </cols>
  <sheetData>
    <row r="2" spans="2:9" ht="14.65" thickBot="1" x14ac:dyDescent="0.5"/>
    <row r="3" spans="2:9" ht="14.65" thickBot="1" x14ac:dyDescent="0.5">
      <c r="B3" s="68"/>
      <c r="C3" s="65" t="s">
        <v>5</v>
      </c>
      <c r="D3" s="66" t="s">
        <v>58</v>
      </c>
      <c r="E3" s="66" t="s">
        <v>60</v>
      </c>
      <c r="F3" s="66" t="s">
        <v>59</v>
      </c>
      <c r="G3" s="66" t="s">
        <v>61</v>
      </c>
      <c r="H3" s="67" t="s">
        <v>10</v>
      </c>
      <c r="I3" s="68" t="s">
        <v>62</v>
      </c>
    </row>
    <row r="4" spans="2:9" x14ac:dyDescent="0.45">
      <c r="B4" s="56" t="s">
        <v>14</v>
      </c>
      <c r="C4" s="52">
        <f>Septembre[[#Totals],[Charge Initiale (h)]]</f>
        <v>94</v>
      </c>
      <c r="D4" s="63">
        <f>Septembre[[#Totals],[Charge Révisée (h)]]</f>
        <v>96</v>
      </c>
      <c r="E4" s="63">
        <f>-Septembre[[#Totals],[Écart de Charge (h)]]</f>
        <v>2</v>
      </c>
      <c r="F4" s="63">
        <f>Septembre[[#Totals],[Temps Passé Cumul (h)]]</f>
        <v>10</v>
      </c>
      <c r="G4" s="63">
        <f>Septembre[[#Totals],[Coût Initial (€)]]</f>
        <v>3290</v>
      </c>
      <c r="H4" s="51">
        <f>Septembre[[#Totals],[Coût Réel (€)]]</f>
        <v>350</v>
      </c>
      <c r="I4" s="64">
        <f>IFERROR(F4/D4,0)</f>
        <v>0.10416666666666667</v>
      </c>
    </row>
    <row r="5" spans="2:9" x14ac:dyDescent="0.45">
      <c r="B5" s="61" t="s">
        <v>0</v>
      </c>
      <c r="C5" s="59">
        <f>Octobre[[#Totals],[Charge Initiale (h)]]</f>
        <v>94</v>
      </c>
      <c r="D5" s="2">
        <f>Octobre[[#Totals],[Charge Révisée (h)]]</f>
        <v>97</v>
      </c>
      <c r="E5" s="2">
        <f>-Octobre[[#Totals],[Écart de Charge (h)]]</f>
        <v>3</v>
      </c>
      <c r="F5" s="2">
        <f>Octobre[[#Totals],[Temps Passé Cumul (h)]]</f>
        <v>30</v>
      </c>
      <c r="G5" s="2">
        <f>Octobre[[#Totals],[Coût Initial (€)]]</f>
        <v>3290</v>
      </c>
      <c r="H5" s="54">
        <f>Octobre[[#Totals],[Coût Réel (€)]]</f>
        <v>1050</v>
      </c>
      <c r="I5" s="57">
        <f t="shared" ref="I5:I9" si="0">IFERROR(F5/D5,0)</f>
        <v>0.30927835051546393</v>
      </c>
    </row>
    <row r="6" spans="2:9" x14ac:dyDescent="0.45">
      <c r="B6" s="61" t="s">
        <v>1</v>
      </c>
      <c r="C6" s="59">
        <f>Novembre[[#Totals],[Charge Initiale (h)]]</f>
        <v>94</v>
      </c>
      <c r="D6" s="2">
        <f>Novembre[[#Totals],[Charge Révisée (h)]]</f>
        <v>97</v>
      </c>
      <c r="E6" s="2">
        <f>-Novembre[[#Totals],[Écart de Charge (h)]]</f>
        <v>3</v>
      </c>
      <c r="F6" s="2">
        <f>Novembre[[#Totals],[Temps Passé Cumul (h)]]</f>
        <v>30</v>
      </c>
      <c r="G6" s="2">
        <f>Novembre[[#Totals],[Coût Initial (€)]]</f>
        <v>3290</v>
      </c>
      <c r="H6" s="54">
        <f>Novembre[[#Totals],[Coût Réel (€)]]</f>
        <v>1050</v>
      </c>
      <c r="I6" s="57">
        <f t="shared" si="0"/>
        <v>0.30927835051546393</v>
      </c>
    </row>
    <row r="7" spans="2:9" x14ac:dyDescent="0.45">
      <c r="B7" s="61" t="s">
        <v>2</v>
      </c>
      <c r="C7" s="59">
        <f>Décembre[[#Totals],[Charge Initiale (h)]]</f>
        <v>94</v>
      </c>
      <c r="D7" s="2">
        <f>Décembre[[#Totals],[Charge Révisée (h)]]</f>
        <v>97</v>
      </c>
      <c r="E7" s="2">
        <f>-Décembre[[#Totals],[Écart de Charge (h)]]</f>
        <v>3</v>
      </c>
      <c r="F7" s="2">
        <f>Décembre[[#Totals],[Temps Passé Cumul (h)]]</f>
        <v>30</v>
      </c>
      <c r="G7" s="2">
        <f>Décembre[[#Totals],[Coût Initial (€)]]</f>
        <v>3290</v>
      </c>
      <c r="H7" s="54">
        <f>Décembre[[#Totals],[Coût Réel (€)]]</f>
        <v>1050</v>
      </c>
      <c r="I7" s="57">
        <f t="shared" si="0"/>
        <v>0.30927835051546393</v>
      </c>
    </row>
    <row r="8" spans="2:9" x14ac:dyDescent="0.45">
      <c r="B8" s="61" t="s">
        <v>3</v>
      </c>
      <c r="C8" s="59">
        <f>Janvier[[#Totals],[Charge Initiale (h)]]</f>
        <v>94</v>
      </c>
      <c r="D8" s="2">
        <f>Janvier[[#Totals],[Charge Révisée (h)]]</f>
        <v>97</v>
      </c>
      <c r="E8" s="2">
        <f>-Janvier[[#Totals],[Écart de Charge (h)]]</f>
        <v>3</v>
      </c>
      <c r="F8" s="2">
        <f>Janvier[[#Totals],[Temps Passé Cumul (h)]]</f>
        <v>30</v>
      </c>
      <c r="G8" s="2">
        <f>Janvier[[#Totals],[Coût Initial (€)]]</f>
        <v>3290</v>
      </c>
      <c r="H8" s="54">
        <f>Janvier[[#Totals],[Coût Réel (€)]]</f>
        <v>1050</v>
      </c>
      <c r="I8" s="57">
        <f t="shared" si="0"/>
        <v>0.30927835051546393</v>
      </c>
    </row>
    <row r="9" spans="2:9" ht="14.65" thickBot="1" x14ac:dyDescent="0.5">
      <c r="B9" s="62" t="s">
        <v>4</v>
      </c>
      <c r="C9" s="60">
        <f>Février[[#Totals],[Charge Initiale (h)]]</f>
        <v>94</v>
      </c>
      <c r="D9" s="53">
        <f>Février[[#Totals],[Charge Révisée (h)]]</f>
        <v>97</v>
      </c>
      <c r="E9" s="53">
        <f>-Février[[#Totals],[Écart de Charge (h)]]</f>
        <v>3</v>
      </c>
      <c r="F9" s="53">
        <f>Février[[#Totals],[Temps Passé Cumul (h)]]</f>
        <v>30</v>
      </c>
      <c r="G9" s="53">
        <f>Février[[#Totals],[Coût Initial (€)]]</f>
        <v>3290</v>
      </c>
      <c r="H9" s="55">
        <f>Février[[#Totals],[Coût Réel (€)]]</f>
        <v>1050</v>
      </c>
      <c r="I9" s="58">
        <f t="shared" si="0"/>
        <v>0.30927835051546393</v>
      </c>
    </row>
  </sheetData>
  <phoneticPr fontId="2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6" orientation="landscape" r:id="rId1"/>
  <headerFooter>
    <oddHeader>&amp;A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638D9-B873-4F0A-860F-063F02CD63DC}">
  <sheetPr>
    <pageSetUpPr fitToPage="1"/>
  </sheetPr>
  <dimension ref="A1:N25"/>
  <sheetViews>
    <sheetView zoomScale="65" zoomScaleNormal="65" workbookViewId="0">
      <selection activeCell="N1" sqref="N1"/>
    </sheetView>
  </sheetViews>
  <sheetFormatPr baseColWidth="10" defaultColWidth="8.53125" defaultRowHeight="14.25" x14ac:dyDescent="0.45"/>
  <cols>
    <col min="1" max="1" width="17.796875" bestFit="1" customWidth="1"/>
    <col min="2" max="2" width="39.06640625" bestFit="1" customWidth="1"/>
    <col min="3" max="3" width="14.86328125" bestFit="1" customWidth="1"/>
    <col min="4" max="4" width="18.73046875" bestFit="1" customWidth="1"/>
    <col min="5" max="5" width="24.19921875" bestFit="1" customWidth="1"/>
    <col min="6" max="6" width="22.9296875" bestFit="1" customWidth="1"/>
    <col min="7" max="7" width="18.73046875" bestFit="1" customWidth="1"/>
    <col min="8" max="8" width="19.46484375" bestFit="1" customWidth="1"/>
    <col min="9" max="9" width="19.53125" bestFit="1" customWidth="1"/>
    <col min="10" max="10" width="26.59765625" bestFit="1" customWidth="1"/>
    <col min="11" max="11" width="15.86328125" bestFit="1" customWidth="1"/>
    <col min="12" max="12" width="16.59765625" bestFit="1" customWidth="1"/>
    <col min="13" max="13" width="14.86328125" bestFit="1" customWidth="1"/>
    <col min="14" max="14" width="9.19921875" bestFit="1" customWidth="1"/>
  </cols>
  <sheetData>
    <row r="1" spans="1:14" x14ac:dyDescent="0.45">
      <c r="A1" s="8" t="s">
        <v>18</v>
      </c>
      <c r="B1" s="9" t="s">
        <v>6</v>
      </c>
      <c r="C1" s="9" t="s">
        <v>7</v>
      </c>
      <c r="D1" s="9" t="s">
        <v>51</v>
      </c>
      <c r="E1" s="9" t="s">
        <v>52</v>
      </c>
      <c r="F1" s="9" t="s">
        <v>53</v>
      </c>
      <c r="G1" s="9" t="s">
        <v>54</v>
      </c>
      <c r="H1" s="9" t="s">
        <v>55</v>
      </c>
      <c r="I1" s="9" t="s">
        <v>56</v>
      </c>
      <c r="J1" s="9" t="s">
        <v>57</v>
      </c>
      <c r="K1" s="10" t="s">
        <v>8</v>
      </c>
      <c r="L1" s="10" t="s">
        <v>9</v>
      </c>
      <c r="M1" s="10" t="s">
        <v>50</v>
      </c>
      <c r="N1" s="11" t="s">
        <v>25</v>
      </c>
    </row>
    <row r="2" spans="1:14" x14ac:dyDescent="0.45">
      <c r="A2" s="70" t="s">
        <v>19</v>
      </c>
      <c r="B2" s="20" t="s">
        <v>32</v>
      </c>
      <c r="C2" s="21" t="s">
        <v>11</v>
      </c>
      <c r="D2" s="22">
        <v>5</v>
      </c>
      <c r="E2" s="22">
        <v>6</v>
      </c>
      <c r="F2" s="22">
        <f>Septembre[[#This Row],[Temps Passé Période (h)]]</f>
        <v>6</v>
      </c>
      <c r="G2" s="22">
        <f>MAX(Septembre[[#This Row],[Charge Initiale (h)]]-Septembre[[#This Row],[Temps Passé Cumul (h)]], 0)</f>
        <v>0</v>
      </c>
      <c r="H2" s="22">
        <f>Septembre[[#This Row],[Temps Passé Cumul (h)]]+Septembre[[#This Row],[Reste à Passer (h)]]</f>
        <v>6</v>
      </c>
      <c r="I2" s="22">
        <f>Septembre[[#This Row],[Charge Initiale (h)]]-Septembre[[#This Row],[Charge Révisée (h)]]</f>
        <v>-1</v>
      </c>
      <c r="J2" s="22" t="str">
        <f>IF(Septembre[[#This Row],[Qui]]="Chef de projet","35",IF(Septembre[[#This Row],[Qui]]="Ingénieur Electronique","32",IF(Septembre[[#This Row],[Qui]]="Ingénieur qualité","36",IF(Septembre[[#This Row],[Qui]]="Ingénieur Développement",30,IF(Septembre[[#This Row],[Qui]]="Ingénieur Mécanique",34,"")))))</f>
        <v>35</v>
      </c>
      <c r="K2" s="22">
        <f>Septembre[[#This Row],[Charge Initiale (h)]]*Septembre[[#This Row],[Prix de Revient Unitaire (€)]]</f>
        <v>175</v>
      </c>
      <c r="L2" s="22">
        <f>Septembre[[#This Row],[Charge Révisée (h)]]*Septembre[[#This Row],[Prix de Revient Unitaire (€)]]</f>
        <v>210</v>
      </c>
      <c r="M2" s="22">
        <f>Septembre[[#This Row],[Prix de Revient Unitaire (€)]]*Septembre[[#This Row],[Temps Passé Cumul (h)]]</f>
        <v>210</v>
      </c>
      <c r="N2" s="23" t="s">
        <v>28</v>
      </c>
    </row>
    <row r="3" spans="1:14" x14ac:dyDescent="0.45">
      <c r="A3" s="70"/>
      <c r="B3" s="20" t="s">
        <v>33</v>
      </c>
      <c r="C3" s="21" t="s">
        <v>11</v>
      </c>
      <c r="D3" s="22">
        <v>5</v>
      </c>
      <c r="E3" s="22">
        <v>1</v>
      </c>
      <c r="F3" s="22">
        <f>Septembre[[#This Row],[Temps Passé Période (h)]]</f>
        <v>1</v>
      </c>
      <c r="G3" s="22">
        <f>MAX(Septembre[[#This Row],[Charge Initiale (h)]]-Septembre[[#This Row],[Temps Passé Cumul (h)]], 0)</f>
        <v>4</v>
      </c>
      <c r="H3" s="22">
        <f>Septembre[[#This Row],[Temps Passé Cumul (h)]]+Septembre[[#This Row],[Reste à Passer (h)]]</f>
        <v>5</v>
      </c>
      <c r="I3" s="22">
        <f>Septembre[[#This Row],[Charge Initiale (h)]]-Septembre[[#This Row],[Charge Révisée (h)]]</f>
        <v>0</v>
      </c>
      <c r="J3" s="22" t="str">
        <f>IF(Septembre[[#This Row],[Qui]]="Chef de projet","35",IF(Septembre[[#This Row],[Qui]]="Ingénieur Electronique","32",IF(Septembre[[#This Row],[Qui]]="Ingénieur qualité","36",IF(Septembre[[#This Row],[Qui]]="Ingénieur Développement",30,IF(Septembre[[#This Row],[Qui]]="Ingénieur Mécanique",34,"")))))</f>
        <v>35</v>
      </c>
      <c r="K3" s="22">
        <f>Septembre[[#This Row],[Charge Initiale (h)]]*Septembre[[#This Row],[Prix de Revient Unitaire (€)]]</f>
        <v>175</v>
      </c>
      <c r="L3" s="22">
        <f>Septembre[[#This Row],[Charge Révisée (h)]]*Septembre[[#This Row],[Prix de Revient Unitaire (€)]]</f>
        <v>175</v>
      </c>
      <c r="M3" s="22">
        <f>Septembre[[#This Row],[Prix de Revient Unitaire (€)]]*Septembre[[#This Row],[Temps Passé Cumul (h)]]</f>
        <v>35</v>
      </c>
      <c r="N3" s="23" t="s">
        <v>29</v>
      </c>
    </row>
    <row r="4" spans="1:14" x14ac:dyDescent="0.45">
      <c r="A4" s="70"/>
      <c r="B4" s="20" t="s">
        <v>34</v>
      </c>
      <c r="C4" s="21" t="s">
        <v>11</v>
      </c>
      <c r="D4" s="22">
        <v>2</v>
      </c>
      <c r="E4" s="22">
        <v>3</v>
      </c>
      <c r="F4" s="22">
        <f>Septembre[[#This Row],[Temps Passé Période (h)]]</f>
        <v>3</v>
      </c>
      <c r="G4" s="22">
        <f>MAX(Septembre[[#This Row],[Charge Initiale (h)]]-Septembre[[#This Row],[Temps Passé Cumul (h)]], 0)</f>
        <v>0</v>
      </c>
      <c r="H4" s="22">
        <f>Septembre[[#This Row],[Temps Passé Cumul (h)]]+Septembre[[#This Row],[Reste à Passer (h)]]</f>
        <v>3</v>
      </c>
      <c r="I4" s="22">
        <f>Septembre[[#This Row],[Charge Initiale (h)]]-Septembre[[#This Row],[Charge Révisée (h)]]</f>
        <v>-1</v>
      </c>
      <c r="J4" s="24" t="str">
        <f>IF(Septembre[[#This Row],[Qui]]="Chef de projet","35",IF(Septembre[[#This Row],[Qui]]="Ingénieur Electronique","32",IF(Septembre[[#This Row],[Qui]]="Ingénieur qualité","36",IF(Septembre[[#This Row],[Qui]]="Ingénieur Développement",30,IF(Septembre[[#This Row],[Qui]]="Ingénieur Mécanique",34,"")))))</f>
        <v>35</v>
      </c>
      <c r="K4" s="22">
        <f>Septembre[[#This Row],[Charge Initiale (h)]]*Septembre[[#This Row],[Prix de Revient Unitaire (€)]]</f>
        <v>70</v>
      </c>
      <c r="L4" s="22">
        <f>Septembre[[#This Row],[Charge Révisée (h)]]*Septembre[[#This Row],[Prix de Revient Unitaire (€)]]</f>
        <v>105</v>
      </c>
      <c r="M4" s="22">
        <f>Septembre[[#This Row],[Prix de Revient Unitaire (€)]]*Septembre[[#This Row],[Temps Passé Cumul (h)]]</f>
        <v>105</v>
      </c>
      <c r="N4" s="23" t="s">
        <v>28</v>
      </c>
    </row>
    <row r="5" spans="1:14" x14ac:dyDescent="0.45">
      <c r="A5" s="70"/>
      <c r="B5" s="20" t="s">
        <v>35</v>
      </c>
      <c r="C5" s="21" t="s">
        <v>11</v>
      </c>
      <c r="D5" s="22">
        <v>2</v>
      </c>
      <c r="E5" s="22">
        <v>0</v>
      </c>
      <c r="F5" s="22">
        <f>Septembre[[#This Row],[Temps Passé Période (h)]]</f>
        <v>0</v>
      </c>
      <c r="G5" s="22">
        <f>MAX(Septembre[[#This Row],[Charge Initiale (h)]]-Septembre[[#This Row],[Temps Passé Cumul (h)]], 0)</f>
        <v>2</v>
      </c>
      <c r="H5" s="22">
        <f>Septembre[[#This Row],[Temps Passé Cumul (h)]]+Septembre[[#This Row],[Reste à Passer (h)]]</f>
        <v>2</v>
      </c>
      <c r="I5" s="22">
        <f>Septembre[[#This Row],[Charge Initiale (h)]]-Septembre[[#This Row],[Charge Révisée (h)]]</f>
        <v>0</v>
      </c>
      <c r="J5" s="24" t="str">
        <f>IF(Septembre[[#This Row],[Qui]]="Chef de projet","35",IF(Septembre[[#This Row],[Qui]]="Ingénieur Electronique","32",IF(Septembre[[#This Row],[Qui]]="Ingénieur qualité","36",IF(Septembre[[#This Row],[Qui]]="Ingénieur Développement",30,IF(Septembre[[#This Row],[Qui]]="Ingénieur Mécanique",34,"")))))</f>
        <v>35</v>
      </c>
      <c r="K5" s="22">
        <f>Septembre[[#This Row],[Charge Initiale (h)]]*Septembre[[#This Row],[Prix de Revient Unitaire (€)]]</f>
        <v>70</v>
      </c>
      <c r="L5" s="22">
        <f>Septembre[[#This Row],[Charge Révisée (h)]]*Septembre[[#This Row],[Prix de Revient Unitaire (€)]]</f>
        <v>70</v>
      </c>
      <c r="M5" s="22">
        <f>Septembre[[#This Row],[Prix de Revient Unitaire (€)]]*Septembre[[#This Row],[Temps Passé Cumul (h)]]</f>
        <v>0</v>
      </c>
      <c r="N5" s="23" t="s">
        <v>29</v>
      </c>
    </row>
    <row r="6" spans="1:14" x14ac:dyDescent="0.45">
      <c r="A6" s="69" t="s">
        <v>12</v>
      </c>
      <c r="B6" s="5" t="s">
        <v>17</v>
      </c>
      <c r="C6" s="18" t="s">
        <v>11</v>
      </c>
      <c r="D6" s="4">
        <v>8</v>
      </c>
      <c r="E6" s="4">
        <v>0</v>
      </c>
      <c r="F6" s="4">
        <f>Septembre[[#This Row],[Temps Passé Période (h)]]</f>
        <v>0</v>
      </c>
      <c r="G6" s="4">
        <f>MAX(Septembre[[#This Row],[Charge Initiale (h)]]-Septembre[[#This Row],[Temps Passé Cumul (h)]], 0)</f>
        <v>8</v>
      </c>
      <c r="H6" s="4">
        <f>Septembre[[#This Row],[Temps Passé Cumul (h)]]+Septembre[[#This Row],[Reste à Passer (h)]]</f>
        <v>8</v>
      </c>
      <c r="I6" s="4">
        <f>Septembre[[#This Row],[Charge Initiale (h)]]-Septembre[[#This Row],[Charge Révisée (h)]]</f>
        <v>0</v>
      </c>
      <c r="J6" s="4" t="str">
        <f>IF(Septembre[[#This Row],[Qui]]="Chef de projet","35",IF(Septembre[[#This Row],[Qui]]="Ingénieur Electronique","32",IF(Septembre[[#This Row],[Qui]]="Ingénieur qualité","36",IF(Septembre[[#This Row],[Qui]]="Ingénieur Développement",30,IF(Septembre[[#This Row],[Qui]]="Ingénieur Mécanique",34,"")))))</f>
        <v>35</v>
      </c>
      <c r="K6" s="4">
        <f>Septembre[[#This Row],[Charge Initiale (h)]]*Septembre[[#This Row],[Prix de Revient Unitaire (€)]]</f>
        <v>280</v>
      </c>
      <c r="L6" s="4">
        <f>Septembre[[#This Row],[Charge Révisée (h)]]*Septembre[[#This Row],[Prix de Revient Unitaire (€)]]</f>
        <v>280</v>
      </c>
      <c r="M6" s="4">
        <f>Septembre[[#This Row],[Prix de Revient Unitaire (€)]]*Septembre[[#This Row],[Temps Passé Cumul (h)]]</f>
        <v>0</v>
      </c>
      <c r="N6" s="12" t="s">
        <v>29</v>
      </c>
    </row>
    <row r="7" spans="1:14" x14ac:dyDescent="0.45">
      <c r="A7" s="69"/>
      <c r="B7" s="5" t="s">
        <v>36</v>
      </c>
      <c r="C7" s="18" t="s">
        <v>11</v>
      </c>
      <c r="D7" s="4">
        <v>3</v>
      </c>
      <c r="E7" s="4">
        <v>0</v>
      </c>
      <c r="F7" s="4">
        <f>Septembre[[#This Row],[Temps Passé Période (h)]]</f>
        <v>0</v>
      </c>
      <c r="G7" s="4">
        <f>MAX(Septembre[[#This Row],[Charge Initiale (h)]]-Septembre[[#This Row],[Temps Passé Cumul (h)]], 0)</f>
        <v>3</v>
      </c>
      <c r="H7" s="4">
        <f>Septembre[[#This Row],[Temps Passé Cumul (h)]]+Septembre[[#This Row],[Reste à Passer (h)]]</f>
        <v>3</v>
      </c>
      <c r="I7" s="4">
        <f>Septembre[[#This Row],[Charge Initiale (h)]]-Septembre[[#This Row],[Charge Révisée (h)]]</f>
        <v>0</v>
      </c>
      <c r="J7" s="4" t="str">
        <f>IF(Septembre[[#This Row],[Qui]]="Chef de projet","35",IF(Septembre[[#This Row],[Qui]]="Ingénieur Electronique","32",IF(Septembre[[#This Row],[Qui]]="Ingénieur qualité","36",IF(Septembre[[#This Row],[Qui]]="Ingénieur Développement",30,IF(Septembre[[#This Row],[Qui]]="Ingénieur Mécanique",34,"")))))</f>
        <v>35</v>
      </c>
      <c r="K7" s="4">
        <f>Septembre[[#This Row],[Charge Initiale (h)]]*Septembre[[#This Row],[Prix de Revient Unitaire (€)]]</f>
        <v>105</v>
      </c>
      <c r="L7" s="4">
        <f>Septembre[[#This Row],[Charge Révisée (h)]]*Septembre[[#This Row],[Prix de Revient Unitaire (€)]]</f>
        <v>105</v>
      </c>
      <c r="M7" s="4">
        <f>Septembre[[#This Row],[Prix de Revient Unitaire (€)]]*Septembre[[#This Row],[Temps Passé Cumul (h)]]</f>
        <v>0</v>
      </c>
      <c r="N7" s="12" t="s">
        <v>29</v>
      </c>
    </row>
    <row r="8" spans="1:14" x14ac:dyDescent="0.45">
      <c r="A8" s="69"/>
      <c r="B8" s="5" t="s">
        <v>37</v>
      </c>
      <c r="C8" s="18" t="s">
        <v>11</v>
      </c>
      <c r="D8" s="4">
        <v>3</v>
      </c>
      <c r="E8" s="4">
        <v>0</v>
      </c>
      <c r="F8" s="4">
        <f>Septembre[[#This Row],[Temps Passé Période (h)]]</f>
        <v>0</v>
      </c>
      <c r="G8" s="4">
        <f>MAX(Septembre[[#This Row],[Charge Initiale (h)]]-Septembre[[#This Row],[Temps Passé Cumul (h)]], 0)</f>
        <v>3</v>
      </c>
      <c r="H8" s="4">
        <f>Septembre[[#This Row],[Temps Passé Cumul (h)]]+Septembre[[#This Row],[Reste à Passer (h)]]</f>
        <v>3</v>
      </c>
      <c r="I8" s="4">
        <f>Septembre[[#This Row],[Charge Initiale (h)]]-Septembre[[#This Row],[Charge Révisée (h)]]</f>
        <v>0</v>
      </c>
      <c r="J8" s="4" t="str">
        <f>IF(Septembre[[#This Row],[Qui]]="Chef de projet","35",IF(Septembre[[#This Row],[Qui]]="Ingénieur Electronique","32",IF(Septembre[[#This Row],[Qui]]="Ingénieur qualité","36",IF(Septembre[[#This Row],[Qui]]="Ingénieur Développement",30,IF(Septembre[[#This Row],[Qui]]="Ingénieur Mécanique",34,"")))))</f>
        <v>35</v>
      </c>
      <c r="K8" s="4">
        <f>Septembre[[#This Row],[Charge Initiale (h)]]*Septembre[[#This Row],[Prix de Revient Unitaire (€)]]</f>
        <v>105</v>
      </c>
      <c r="L8" s="4">
        <f>Septembre[[#This Row],[Charge Révisée (h)]]*Septembre[[#This Row],[Prix de Revient Unitaire (€)]]</f>
        <v>105</v>
      </c>
      <c r="M8" s="4">
        <f>Septembre[[#This Row],[Prix de Revient Unitaire (€)]]*Septembre[[#This Row],[Temps Passé Cumul (h)]]</f>
        <v>0</v>
      </c>
      <c r="N8" s="12" t="s">
        <v>29</v>
      </c>
    </row>
    <row r="9" spans="1:14" x14ac:dyDescent="0.45">
      <c r="A9" s="69"/>
      <c r="B9" s="5" t="s">
        <v>38</v>
      </c>
      <c r="C9" s="18" t="s">
        <v>11</v>
      </c>
      <c r="D9" s="4">
        <v>1.5</v>
      </c>
      <c r="E9" s="4">
        <v>0</v>
      </c>
      <c r="F9" s="4">
        <f>Septembre[[#This Row],[Temps Passé Période (h)]]</f>
        <v>0</v>
      </c>
      <c r="G9" s="4">
        <f>MAX(Septembre[[#This Row],[Charge Initiale (h)]]-Septembre[[#This Row],[Temps Passé Cumul (h)]], 0)</f>
        <v>1.5</v>
      </c>
      <c r="H9" s="4">
        <f>Septembre[[#This Row],[Temps Passé Cumul (h)]]+Septembre[[#This Row],[Reste à Passer (h)]]</f>
        <v>1.5</v>
      </c>
      <c r="I9" s="4">
        <f>Septembre[[#This Row],[Charge Initiale (h)]]-Septembre[[#This Row],[Charge Révisée (h)]]</f>
        <v>0</v>
      </c>
      <c r="J9" s="4" t="str">
        <f>IF(Septembre[[#This Row],[Qui]]="Chef de projet","35",IF(Septembre[[#This Row],[Qui]]="Ingénieur Electronique","32",IF(Septembre[[#This Row],[Qui]]="Ingénieur qualité","36",IF(Septembre[[#This Row],[Qui]]="Ingénieur Développement",30,IF(Septembre[[#This Row],[Qui]]="Ingénieur Mécanique",34,"")))))</f>
        <v>35</v>
      </c>
      <c r="K9" s="4">
        <f>Septembre[[#This Row],[Charge Initiale (h)]]*Septembre[[#This Row],[Prix de Revient Unitaire (€)]]</f>
        <v>52.5</v>
      </c>
      <c r="L9" s="4">
        <f>Septembre[[#This Row],[Charge Révisée (h)]]*Septembre[[#This Row],[Prix de Revient Unitaire (€)]]</f>
        <v>52.5</v>
      </c>
      <c r="M9" s="4">
        <f>Septembre[[#This Row],[Prix de Revient Unitaire (€)]]*Septembre[[#This Row],[Temps Passé Cumul (h)]]</f>
        <v>0</v>
      </c>
      <c r="N9" s="12" t="s">
        <v>29</v>
      </c>
    </row>
    <row r="10" spans="1:14" x14ac:dyDescent="0.45">
      <c r="A10" s="71" t="s">
        <v>20</v>
      </c>
      <c r="B10" s="25" t="s">
        <v>39</v>
      </c>
      <c r="C10" s="26" t="s">
        <v>11</v>
      </c>
      <c r="D10" s="27">
        <v>5.5</v>
      </c>
      <c r="E10" s="27">
        <v>0</v>
      </c>
      <c r="F10" s="27">
        <f>Septembre[[#This Row],[Temps Passé Période (h)]]</f>
        <v>0</v>
      </c>
      <c r="G10" s="27">
        <f>MAX(Septembre[[#This Row],[Charge Initiale (h)]]-Septembre[[#This Row],[Temps Passé Cumul (h)]], 0)</f>
        <v>5.5</v>
      </c>
      <c r="H10" s="27">
        <f>Septembre[[#This Row],[Temps Passé Cumul (h)]]+Septembre[[#This Row],[Reste à Passer (h)]]</f>
        <v>5.5</v>
      </c>
      <c r="I10" s="27">
        <f>Septembre[[#This Row],[Charge Initiale (h)]]-Septembre[[#This Row],[Charge Révisée (h)]]</f>
        <v>0</v>
      </c>
      <c r="J10" s="27" t="str">
        <f>IF(Septembre[[#This Row],[Qui]]="Chef de projet","35",IF(Septembre[[#This Row],[Qui]]="Ingénieur Electronique","32",IF(Septembre[[#This Row],[Qui]]="Ingénieur qualité","36",IF(Septembre[[#This Row],[Qui]]="Ingénieur Développement",30,IF(Septembre[[#This Row],[Qui]]="Ingénieur Mécanique",34,"")))))</f>
        <v>35</v>
      </c>
      <c r="K10" s="27">
        <f>Septembre[[#This Row],[Charge Initiale (h)]]*Septembre[[#This Row],[Prix de Revient Unitaire (€)]]</f>
        <v>192.5</v>
      </c>
      <c r="L10" s="27">
        <f>Septembre[[#This Row],[Charge Révisée (h)]]*Septembre[[#This Row],[Prix de Revient Unitaire (€)]]</f>
        <v>192.5</v>
      </c>
      <c r="M10" s="27">
        <f>Septembre[[#This Row],[Prix de Revient Unitaire (€)]]*Septembre[[#This Row],[Temps Passé Cumul (h)]]</f>
        <v>0</v>
      </c>
      <c r="N10" s="28" t="s">
        <v>29</v>
      </c>
    </row>
    <row r="11" spans="1:14" x14ac:dyDescent="0.45">
      <c r="A11" s="71"/>
      <c r="B11" s="25" t="s">
        <v>40</v>
      </c>
      <c r="C11" s="26" t="s">
        <v>11</v>
      </c>
      <c r="D11" s="27">
        <v>3</v>
      </c>
      <c r="E11" s="27">
        <v>0</v>
      </c>
      <c r="F11" s="27">
        <f>Septembre[[#This Row],[Temps Passé Période (h)]]</f>
        <v>0</v>
      </c>
      <c r="G11" s="27">
        <f>MAX(Septembre[[#This Row],[Charge Initiale (h)]]-Septembre[[#This Row],[Temps Passé Cumul (h)]], 0)</f>
        <v>3</v>
      </c>
      <c r="H11" s="27">
        <f>Septembre[[#This Row],[Temps Passé Cumul (h)]]+Septembre[[#This Row],[Reste à Passer (h)]]</f>
        <v>3</v>
      </c>
      <c r="I11" s="27">
        <f>Septembre[[#This Row],[Charge Initiale (h)]]-Septembre[[#This Row],[Charge Révisée (h)]]</f>
        <v>0</v>
      </c>
      <c r="J11" s="27" t="str">
        <f>IF(Septembre[[#This Row],[Qui]]="Chef de projet","35",IF(Septembre[[#This Row],[Qui]]="Ingénieur Electronique","32",IF(Septembre[[#This Row],[Qui]]="Ingénieur qualité","36",IF(Septembre[[#This Row],[Qui]]="Ingénieur Développement",30,IF(Septembre[[#This Row],[Qui]]="Ingénieur Mécanique",34,"")))))</f>
        <v>35</v>
      </c>
      <c r="K11" s="27">
        <f>Septembre[[#This Row],[Charge Initiale (h)]]*Septembre[[#This Row],[Prix de Revient Unitaire (€)]]</f>
        <v>105</v>
      </c>
      <c r="L11" s="27">
        <f>Septembre[[#This Row],[Charge Révisée (h)]]*Septembre[[#This Row],[Prix de Revient Unitaire (€)]]</f>
        <v>105</v>
      </c>
      <c r="M11" s="27">
        <f>Septembre[[#This Row],[Prix de Revient Unitaire (€)]]*Septembre[[#This Row],[Temps Passé Cumul (h)]]</f>
        <v>0</v>
      </c>
      <c r="N11" s="28" t="s">
        <v>29</v>
      </c>
    </row>
    <row r="12" spans="1:14" x14ac:dyDescent="0.45">
      <c r="A12" s="71"/>
      <c r="B12" s="25" t="s">
        <v>41</v>
      </c>
      <c r="C12" s="26" t="s">
        <v>11</v>
      </c>
      <c r="D12" s="27">
        <v>2</v>
      </c>
      <c r="E12" s="27">
        <v>0</v>
      </c>
      <c r="F12" s="27">
        <f>Septembre[[#This Row],[Temps Passé Période (h)]]</f>
        <v>0</v>
      </c>
      <c r="G12" s="27">
        <f>MAX(Septembre[[#This Row],[Charge Initiale (h)]]-Septembre[[#This Row],[Temps Passé Cumul (h)]], 0)</f>
        <v>2</v>
      </c>
      <c r="H12" s="27">
        <f>Septembre[[#This Row],[Temps Passé Cumul (h)]]+Septembre[[#This Row],[Reste à Passer (h)]]</f>
        <v>2</v>
      </c>
      <c r="I12" s="27">
        <f>Septembre[[#This Row],[Charge Initiale (h)]]-Septembre[[#This Row],[Charge Révisée (h)]]</f>
        <v>0</v>
      </c>
      <c r="J12" s="27" t="str">
        <f>IF(Septembre[[#This Row],[Qui]]="Chef de projet","35",IF(Septembre[[#This Row],[Qui]]="Ingénieur Electronique","32",IF(Septembre[[#This Row],[Qui]]="Ingénieur qualité","36",IF(Septembre[[#This Row],[Qui]]="Ingénieur Développement",30,IF(Septembre[[#This Row],[Qui]]="Ingénieur Mécanique",34,"")))))</f>
        <v>35</v>
      </c>
      <c r="K12" s="27">
        <f>Septembre[[#This Row],[Charge Initiale (h)]]*Septembre[[#This Row],[Prix de Revient Unitaire (€)]]</f>
        <v>70</v>
      </c>
      <c r="L12" s="27">
        <f>Septembre[[#This Row],[Charge Révisée (h)]]*Septembre[[#This Row],[Prix de Revient Unitaire (€)]]</f>
        <v>70</v>
      </c>
      <c r="M12" s="27">
        <f>Septembre[[#This Row],[Prix de Revient Unitaire (€)]]*Septembre[[#This Row],[Temps Passé Cumul (h)]]</f>
        <v>0</v>
      </c>
      <c r="N12" s="28" t="s">
        <v>29</v>
      </c>
    </row>
    <row r="13" spans="1:14" x14ac:dyDescent="0.45">
      <c r="A13" s="74" t="s">
        <v>21</v>
      </c>
      <c r="B13" s="7" t="s">
        <v>42</v>
      </c>
      <c r="C13" s="19" t="s">
        <v>11</v>
      </c>
      <c r="D13" s="6">
        <v>7</v>
      </c>
      <c r="E13" s="6">
        <v>0</v>
      </c>
      <c r="F13" s="6">
        <f>Septembre[[#This Row],[Temps Passé Période (h)]]</f>
        <v>0</v>
      </c>
      <c r="G13" s="6">
        <f>MAX(Septembre[[#This Row],[Charge Initiale (h)]]-Septembre[[#This Row],[Temps Passé Cumul (h)]], 0)</f>
        <v>7</v>
      </c>
      <c r="H13" s="6">
        <f>Septembre[[#This Row],[Temps Passé Cumul (h)]]+Septembre[[#This Row],[Reste à Passer (h)]]</f>
        <v>7</v>
      </c>
      <c r="I13" s="6">
        <f>Septembre[[#This Row],[Charge Initiale (h)]]-Septembre[[#This Row],[Charge Révisée (h)]]</f>
        <v>0</v>
      </c>
      <c r="J13" s="6" t="str">
        <f>IF(Septembre[[#This Row],[Qui]]="Chef de projet","35",IF(Septembre[[#This Row],[Qui]]="Ingénieur Electronique","32",IF(Septembre[[#This Row],[Qui]]="Ingénieur qualité","36",IF(Septembre[[#This Row],[Qui]]="Ingénieur Développement",30,IF(Septembre[[#This Row],[Qui]]="Ingénieur Mécanique",34,"")))))</f>
        <v>35</v>
      </c>
      <c r="K13" s="6">
        <f>Septembre[[#This Row],[Charge Initiale (h)]]*Septembre[[#This Row],[Prix de Revient Unitaire (€)]]</f>
        <v>245</v>
      </c>
      <c r="L13" s="6">
        <f>Septembre[[#This Row],[Charge Révisée (h)]]*Septembre[[#This Row],[Prix de Revient Unitaire (€)]]</f>
        <v>245</v>
      </c>
      <c r="M13" s="6">
        <f>Septembre[[#This Row],[Prix de Revient Unitaire (€)]]*Septembre[[#This Row],[Temps Passé Cumul (h)]]</f>
        <v>0</v>
      </c>
      <c r="N13" s="13" t="s">
        <v>29</v>
      </c>
    </row>
    <row r="14" spans="1:14" x14ac:dyDescent="0.45">
      <c r="A14" s="75"/>
      <c r="B14" s="7" t="s">
        <v>49</v>
      </c>
      <c r="C14" s="19" t="s">
        <v>11</v>
      </c>
      <c r="D14" s="6">
        <v>4</v>
      </c>
      <c r="E14" s="6">
        <v>0</v>
      </c>
      <c r="F14" s="6">
        <f>Septembre[[#This Row],[Temps Passé Période (h)]]</f>
        <v>0</v>
      </c>
      <c r="G14" s="6">
        <f>MAX(Septembre[[#This Row],[Charge Initiale (h)]]-Septembre[[#This Row],[Temps Passé Cumul (h)]], 0)</f>
        <v>4</v>
      </c>
      <c r="H14" s="6">
        <f>Septembre[[#This Row],[Temps Passé Cumul (h)]]+Septembre[[#This Row],[Reste à Passer (h)]]</f>
        <v>4</v>
      </c>
      <c r="I14" s="6">
        <f>Septembre[[#This Row],[Charge Initiale (h)]]-Septembre[[#This Row],[Charge Révisée (h)]]</f>
        <v>0</v>
      </c>
      <c r="J14" s="6" t="str">
        <f>IF(Septembre[[#This Row],[Qui]]="Chef de projet","35",IF(Septembre[[#This Row],[Qui]]="Ingénieur Electronique","32",IF(Septembre[[#This Row],[Qui]]="Ingénieur qualité","36",IF(Septembre[[#This Row],[Qui]]="Ingénieur Développement",30,IF(Septembre[[#This Row],[Qui]]="Ingénieur Mécanique",34,"")))))</f>
        <v>35</v>
      </c>
      <c r="K14" s="6">
        <f>Septembre[[#This Row],[Charge Initiale (h)]]*Septembre[[#This Row],[Prix de Revient Unitaire (€)]]</f>
        <v>140</v>
      </c>
      <c r="L14" s="6">
        <f>Septembre[[#This Row],[Charge Révisée (h)]]*Septembre[[#This Row],[Prix de Revient Unitaire (€)]]</f>
        <v>140</v>
      </c>
      <c r="M14" s="6">
        <f>Septembre[[#This Row],[Prix de Revient Unitaire (€)]]*Septembre[[#This Row],[Temps Passé Cumul (h)]]</f>
        <v>0</v>
      </c>
      <c r="N14" s="13" t="s">
        <v>29</v>
      </c>
    </row>
    <row r="15" spans="1:14" x14ac:dyDescent="0.45">
      <c r="A15" s="29" t="s">
        <v>22</v>
      </c>
      <c r="B15" s="30" t="s">
        <v>43</v>
      </c>
      <c r="C15" s="31" t="s">
        <v>11</v>
      </c>
      <c r="D15" s="32">
        <v>20</v>
      </c>
      <c r="E15" s="32">
        <v>0</v>
      </c>
      <c r="F15" s="32">
        <f>Septembre[[#This Row],[Temps Passé Période (h)]]</f>
        <v>0</v>
      </c>
      <c r="G15" s="32">
        <f>MAX(Septembre[[#This Row],[Charge Initiale (h)]]-Septembre[[#This Row],[Temps Passé Cumul (h)]], 0)</f>
        <v>20</v>
      </c>
      <c r="H15" s="32">
        <f>Septembre[[#This Row],[Temps Passé Cumul (h)]]+Septembre[[#This Row],[Reste à Passer (h)]]</f>
        <v>20</v>
      </c>
      <c r="I15" s="32">
        <f>Septembre[[#This Row],[Charge Initiale (h)]]-Septembre[[#This Row],[Charge Révisée (h)]]</f>
        <v>0</v>
      </c>
      <c r="J15" s="32" t="str">
        <f>IF(Septembre[[#This Row],[Qui]]="Chef de projet","35",IF(Septembre[[#This Row],[Qui]]="Ingénieur Electronique","32",IF(Septembre[[#This Row],[Qui]]="Ingénieur qualité","36",IF(Septembre[[#This Row],[Qui]]="Ingénieur Développement",30,IF(Septembre[[#This Row],[Qui]]="Ingénieur Mécanique",34,"")))))</f>
        <v>35</v>
      </c>
      <c r="K15" s="32">
        <f>Septembre[[#This Row],[Charge Initiale (h)]]*Septembre[[#This Row],[Prix de Revient Unitaire (€)]]</f>
        <v>700</v>
      </c>
      <c r="L15" s="32">
        <f>Septembre[[#This Row],[Charge Révisée (h)]]*Septembre[[#This Row],[Prix de Revient Unitaire (€)]]</f>
        <v>700</v>
      </c>
      <c r="M15" s="32">
        <f>Septembre[[#This Row],[Prix de Revient Unitaire (€)]]*Septembre[[#This Row],[Temps Passé Cumul (h)]]</f>
        <v>0</v>
      </c>
      <c r="N15" s="33" t="s">
        <v>29</v>
      </c>
    </row>
    <row r="16" spans="1:14" x14ac:dyDescent="0.45">
      <c r="A16" s="34" t="s">
        <v>23</v>
      </c>
      <c r="B16" s="35" t="s">
        <v>44</v>
      </c>
      <c r="C16" s="36" t="s">
        <v>11</v>
      </c>
      <c r="D16" s="37">
        <v>6</v>
      </c>
      <c r="E16" s="37">
        <v>0</v>
      </c>
      <c r="F16" s="37">
        <f>Septembre[[#This Row],[Temps Passé Période (h)]]</f>
        <v>0</v>
      </c>
      <c r="G16" s="37">
        <f>MAX(Septembre[[#This Row],[Charge Initiale (h)]]-Septembre[[#This Row],[Temps Passé Cumul (h)]], 0)</f>
        <v>6</v>
      </c>
      <c r="H16" s="37">
        <f>Septembre[[#This Row],[Temps Passé Cumul (h)]]+Septembre[[#This Row],[Reste à Passer (h)]]</f>
        <v>6</v>
      </c>
      <c r="I16" s="37">
        <f>Septembre[[#This Row],[Charge Initiale (h)]]-Septembre[[#This Row],[Charge Révisée (h)]]</f>
        <v>0</v>
      </c>
      <c r="J16" s="37" t="str">
        <f>IF(Septembre[[#This Row],[Qui]]="Chef de projet","35",IF(Septembre[[#This Row],[Qui]]="Ingénieur Electronique","32",IF(Septembre[[#This Row],[Qui]]="Ingénieur qualité","36",IF(Septembre[[#This Row],[Qui]]="Ingénieur Développement",30,IF(Septembre[[#This Row],[Qui]]="Ingénieur Mécanique",34,"")))))</f>
        <v>35</v>
      </c>
      <c r="K16" s="37">
        <f>Septembre[[#This Row],[Charge Initiale (h)]]*Septembre[[#This Row],[Prix de Revient Unitaire (€)]]</f>
        <v>210</v>
      </c>
      <c r="L16" s="37">
        <f>Septembre[[#This Row],[Charge Révisée (h)]]*Septembre[[#This Row],[Prix de Revient Unitaire (€)]]</f>
        <v>210</v>
      </c>
      <c r="M16" s="37">
        <f>Septembre[[#This Row],[Prix de Revient Unitaire (€)]]*Septembre[[#This Row],[Temps Passé Cumul (h)]]</f>
        <v>0</v>
      </c>
      <c r="N16" s="38" t="s">
        <v>29</v>
      </c>
    </row>
    <row r="17" spans="1:14" x14ac:dyDescent="0.45">
      <c r="A17" s="39" t="s">
        <v>24</v>
      </c>
      <c r="B17" s="40" t="s">
        <v>45</v>
      </c>
      <c r="C17" s="41" t="s">
        <v>11</v>
      </c>
      <c r="D17" s="42">
        <v>4</v>
      </c>
      <c r="E17" s="42">
        <v>0</v>
      </c>
      <c r="F17" s="42">
        <f>Septembre[[#This Row],[Temps Passé Période (h)]]</f>
        <v>0</v>
      </c>
      <c r="G17" s="42">
        <f>MAX(Septembre[[#This Row],[Charge Initiale (h)]]-Septembre[[#This Row],[Temps Passé Cumul (h)]], 0)</f>
        <v>4</v>
      </c>
      <c r="H17" s="42">
        <f>Septembre[[#This Row],[Temps Passé Cumul (h)]]+Septembre[[#This Row],[Reste à Passer (h)]]</f>
        <v>4</v>
      </c>
      <c r="I17" s="42">
        <f>Septembre[[#This Row],[Charge Initiale (h)]]-Septembre[[#This Row],[Charge Révisée (h)]]</f>
        <v>0</v>
      </c>
      <c r="J17" s="42" t="str">
        <f>IF(Septembre[[#This Row],[Qui]]="Chef de projet","35",IF(Septembre[[#This Row],[Qui]]="Ingénieur Electronique","32",IF(Septembre[[#This Row],[Qui]]="Ingénieur qualité","36",IF(Septembre[[#This Row],[Qui]]="Ingénieur Développement",30,IF(Septembre[[#This Row],[Qui]]="Ingénieur Mécanique",34,"")))))</f>
        <v>35</v>
      </c>
      <c r="K17" s="42">
        <f>Septembre[[#This Row],[Charge Initiale (h)]]*Septembre[[#This Row],[Prix de Revient Unitaire (€)]]</f>
        <v>140</v>
      </c>
      <c r="L17" s="42">
        <f>Septembre[[#This Row],[Charge Révisée (h)]]*Septembre[[#This Row],[Prix de Revient Unitaire (€)]]</f>
        <v>140</v>
      </c>
      <c r="M17" s="42">
        <f>Septembre[[#This Row],[Prix de Revient Unitaire (€)]]*Septembre[[#This Row],[Temps Passé Cumul (h)]]</f>
        <v>0</v>
      </c>
      <c r="N17" s="43" t="s">
        <v>29</v>
      </c>
    </row>
    <row r="18" spans="1:14" x14ac:dyDescent="0.45">
      <c r="A18" s="72" t="s">
        <v>30</v>
      </c>
      <c r="B18" s="44" t="s">
        <v>46</v>
      </c>
      <c r="C18" s="44" t="s">
        <v>11</v>
      </c>
      <c r="D18" s="45">
        <v>3</v>
      </c>
      <c r="E18" s="45">
        <v>0</v>
      </c>
      <c r="F18" s="45">
        <f>Septembre[[#This Row],[Temps Passé Période (h)]]</f>
        <v>0</v>
      </c>
      <c r="G18" s="45">
        <f>MAX(Septembre[[#This Row],[Charge Initiale (h)]]-Septembre[[#This Row],[Temps Passé Cumul (h)]], 0)</f>
        <v>3</v>
      </c>
      <c r="H18" s="45">
        <f>Septembre[[#This Row],[Temps Passé Cumul (h)]]+Septembre[[#This Row],[Reste à Passer (h)]]</f>
        <v>3</v>
      </c>
      <c r="I18" s="45">
        <f>Septembre[[#This Row],[Charge Initiale (h)]]-Septembre[[#This Row],[Charge Révisée (h)]]</f>
        <v>0</v>
      </c>
      <c r="J18" s="45" t="str">
        <f>IF(Septembre[[#This Row],[Qui]]="Chef de projet","35",IF(Septembre[[#This Row],[Qui]]="Ingénieur Electronique","32",IF(Septembre[[#This Row],[Qui]]="Ingénieur qualité","36",IF(Septembre[[#This Row],[Qui]]="Ingénieur Développement",30,IF(Septembre[[#This Row],[Qui]]="Ingénieur Mécanique",34,"")))))</f>
        <v>35</v>
      </c>
      <c r="K18" s="45">
        <f>Septembre[[#This Row],[Charge Initiale (h)]]*Septembre[[#This Row],[Prix de Revient Unitaire (€)]]</f>
        <v>105</v>
      </c>
      <c r="L18" s="45">
        <f>Septembre[[#This Row],[Charge Révisée (h)]]*Septembre[[#This Row],[Prix de Revient Unitaire (€)]]</f>
        <v>105</v>
      </c>
      <c r="M18" s="45">
        <f>Septembre[[#This Row],[Prix de Revient Unitaire (€)]]*Septembre[[#This Row],[Temps Passé Cumul (h)]]</f>
        <v>0</v>
      </c>
      <c r="N18" s="46" t="s">
        <v>29</v>
      </c>
    </row>
    <row r="19" spans="1:14" x14ac:dyDescent="0.45">
      <c r="A19" s="73"/>
      <c r="B19" s="44" t="s">
        <v>47</v>
      </c>
      <c r="C19" s="44" t="s">
        <v>11</v>
      </c>
      <c r="D19" s="45">
        <v>8</v>
      </c>
      <c r="E19" s="45">
        <v>0</v>
      </c>
      <c r="F19" s="45">
        <f>Septembre[[#This Row],[Temps Passé Période (h)]]</f>
        <v>0</v>
      </c>
      <c r="G19" s="45">
        <f>MAX(Septembre[[#This Row],[Charge Initiale (h)]]-Septembre[[#This Row],[Temps Passé Cumul (h)]], 0)</f>
        <v>8</v>
      </c>
      <c r="H19" s="45">
        <f>Septembre[[#This Row],[Temps Passé Cumul (h)]]+Septembre[[#This Row],[Reste à Passer (h)]]</f>
        <v>8</v>
      </c>
      <c r="I19" s="45">
        <f>Septembre[[#This Row],[Charge Initiale (h)]]-Septembre[[#This Row],[Charge Révisée (h)]]</f>
        <v>0</v>
      </c>
      <c r="J19" s="45" t="str">
        <f>IF(Septembre[[#This Row],[Qui]]="Chef de projet","35",IF(Septembre[[#This Row],[Qui]]="Ingénieur Electronique","32",IF(Septembre[[#This Row],[Qui]]="Ingénieur qualité","36",IF(Septembre[[#This Row],[Qui]]="Ingénieur Développement",30,IF(Septembre[[#This Row],[Qui]]="Ingénieur Mécanique",34,"")))))</f>
        <v>35</v>
      </c>
      <c r="K19" s="45">
        <f>Septembre[[#This Row],[Charge Initiale (h)]]*Septembre[[#This Row],[Prix de Revient Unitaire (€)]]</f>
        <v>280</v>
      </c>
      <c r="L19" s="45">
        <f>Septembre[[#This Row],[Charge Révisée (h)]]*Septembre[[#This Row],[Prix de Revient Unitaire (€)]]</f>
        <v>280</v>
      </c>
      <c r="M19" s="45">
        <f>Septembre[[#This Row],[Prix de Revient Unitaire (€)]]*Septembre[[#This Row],[Temps Passé Cumul (h)]]</f>
        <v>0</v>
      </c>
      <c r="N19" s="46" t="s">
        <v>29</v>
      </c>
    </row>
    <row r="20" spans="1:14" x14ac:dyDescent="0.45">
      <c r="A20" s="47" t="s">
        <v>31</v>
      </c>
      <c r="B20" s="48" t="s">
        <v>48</v>
      </c>
      <c r="C20" s="48" t="s">
        <v>11</v>
      </c>
      <c r="D20" s="49">
        <v>2</v>
      </c>
      <c r="E20" s="49">
        <v>0</v>
      </c>
      <c r="F20" s="49">
        <f>Septembre[[#This Row],[Temps Passé Période (h)]]</f>
        <v>0</v>
      </c>
      <c r="G20" s="49">
        <f>MAX(Septembre[[#This Row],[Charge Initiale (h)]]-Septembre[[#This Row],[Temps Passé Cumul (h)]], 0)</f>
        <v>2</v>
      </c>
      <c r="H20" s="49">
        <f>Septembre[[#This Row],[Temps Passé Cumul (h)]]+Septembre[[#This Row],[Reste à Passer (h)]]</f>
        <v>2</v>
      </c>
      <c r="I20" s="49">
        <f>Septembre[[#This Row],[Charge Initiale (h)]]-Septembre[[#This Row],[Charge Révisée (h)]]</f>
        <v>0</v>
      </c>
      <c r="J20" s="49" t="str">
        <f>IF(Septembre[[#This Row],[Qui]]="Chef de projet","35",IF(Septembre[[#This Row],[Qui]]="Ingénieur Electronique","32",IF(Septembre[[#This Row],[Qui]]="Ingénieur qualité","36",IF(Septembre[[#This Row],[Qui]]="Ingénieur Développement",30,IF(Septembre[[#This Row],[Qui]]="Ingénieur Mécanique",34,"")))))</f>
        <v>35</v>
      </c>
      <c r="K20" s="49">
        <f>Septembre[[#This Row],[Charge Initiale (h)]]*Septembre[[#This Row],[Prix de Revient Unitaire (€)]]</f>
        <v>70</v>
      </c>
      <c r="L20" s="49">
        <f>Septembre[[#This Row],[Charge Révisée (h)]]*Septembre[[#This Row],[Prix de Revient Unitaire (€)]]</f>
        <v>70</v>
      </c>
      <c r="M20" s="49">
        <f>Septembre[[#This Row],[Prix de Revient Unitaire (€)]]*Septembre[[#This Row],[Temps Passé Cumul (h)]]</f>
        <v>0</v>
      </c>
      <c r="N20" s="50" t="s">
        <v>29</v>
      </c>
    </row>
    <row r="21" spans="1:14" ht="14.65" thickBot="1" x14ac:dyDescent="0.5">
      <c r="A21" s="14"/>
      <c r="B21" s="15" t="s">
        <v>13</v>
      </c>
      <c r="C21" s="15"/>
      <c r="D21" s="15">
        <f>SUBTOTAL(109,Septembre[Charge Initiale (h)])</f>
        <v>94</v>
      </c>
      <c r="E21" s="15">
        <f>SUBTOTAL(109,Septembre[Temps Passé Période (h)])</f>
        <v>10</v>
      </c>
      <c r="F21" s="15">
        <f>SUBTOTAL(109,Septembre[Temps Passé Cumul (h)])</f>
        <v>10</v>
      </c>
      <c r="G21" s="15">
        <f>SUBTOTAL(109,Septembre[Reste à Passer (h)])</f>
        <v>86</v>
      </c>
      <c r="H21" s="15">
        <f>SUBTOTAL(109,Septembre[Charge Révisée (h)])</f>
        <v>96</v>
      </c>
      <c r="I21" s="15">
        <f>SUBTOTAL(109,Septembre[Écart de Charge (h)])</f>
        <v>-2</v>
      </c>
      <c r="J21" s="15">
        <f>SUBTOTAL(109,Septembre[Prix de Revient Unitaire (€)])</f>
        <v>0</v>
      </c>
      <c r="K21" s="15">
        <f>SUBTOTAL(109,Septembre[Coût Initial (€)])</f>
        <v>3290</v>
      </c>
      <c r="L21" s="16">
        <f>SUBTOTAL(109,Septembre[Coût Révisé (€)])</f>
        <v>3360</v>
      </c>
      <c r="M21" s="15">
        <f>SUBTOTAL(109,Septembre[Coût Réel (€)])</f>
        <v>350</v>
      </c>
      <c r="N21" s="17"/>
    </row>
    <row r="22" spans="1:14" x14ac:dyDescent="0.4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4" x14ac:dyDescent="0.45">
      <c r="B23" s="3" t="s">
        <v>15</v>
      </c>
      <c r="C23" s="3" t="s">
        <v>26</v>
      </c>
      <c r="M23" s="2" t="s">
        <v>27</v>
      </c>
    </row>
    <row r="24" spans="1:14" x14ac:dyDescent="0.45">
      <c r="B24" s="2" t="s">
        <v>16</v>
      </c>
      <c r="C24" s="2">
        <v>115</v>
      </c>
      <c r="M24" s="2" t="s">
        <v>28</v>
      </c>
    </row>
    <row r="25" spans="1:14" x14ac:dyDescent="0.45">
      <c r="B25" s="2" t="s">
        <v>13</v>
      </c>
      <c r="C25" s="2">
        <f>SUM(C24:C24)</f>
        <v>115</v>
      </c>
      <c r="M25" s="2" t="s">
        <v>29</v>
      </c>
    </row>
  </sheetData>
  <autoFilter ref="N1:N20" xr:uid="{70F638D9-B873-4F0A-860F-063F02CD63DC}"/>
  <mergeCells count="5">
    <mergeCell ref="A6:A9"/>
    <mergeCell ref="A2:A5"/>
    <mergeCell ref="A10:A12"/>
    <mergeCell ref="A18:A19"/>
    <mergeCell ref="A13:A14"/>
  </mergeCells>
  <dataValidations count="2">
    <dataValidation type="list" allowBlank="1" showInputMessage="1" showErrorMessage="1" sqref="C2:C20" xr:uid="{518F75D0-8E1A-4CA5-91A4-11A4C681CC13}">
      <formula1>$B$24:$B$24</formula1>
    </dataValidation>
    <dataValidation type="list" allowBlank="1" showInputMessage="1" showErrorMessage="1" sqref="N2:N20" xr:uid="{78285148-183D-4AE0-AA50-3EF42FF350A9}">
      <formula1>$M$24:$M$25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1" orientation="landscape" r:id="rId1"/>
  <headerFooter>
    <oddHeader>&amp;A</oddHead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5F8AA-B985-436F-8152-E9F351E856E5}">
  <sheetPr>
    <pageSetUpPr fitToPage="1"/>
  </sheetPr>
  <dimension ref="A1:N25"/>
  <sheetViews>
    <sheetView zoomScale="65" zoomScaleNormal="65" workbookViewId="0">
      <selection activeCell="N1" sqref="N1"/>
    </sheetView>
  </sheetViews>
  <sheetFormatPr baseColWidth="10" defaultColWidth="8.53125" defaultRowHeight="14.25" x14ac:dyDescent="0.45"/>
  <cols>
    <col min="1" max="1" width="17.796875" bestFit="1" customWidth="1"/>
    <col min="2" max="2" width="39.06640625" bestFit="1" customWidth="1"/>
    <col min="3" max="3" width="14.86328125" bestFit="1" customWidth="1"/>
    <col min="4" max="4" width="18.73046875" bestFit="1" customWidth="1"/>
    <col min="5" max="5" width="24.19921875" bestFit="1" customWidth="1"/>
    <col min="6" max="6" width="22.9296875" bestFit="1" customWidth="1"/>
    <col min="7" max="7" width="18.73046875" bestFit="1" customWidth="1"/>
    <col min="8" max="8" width="19.46484375" bestFit="1" customWidth="1"/>
    <col min="9" max="9" width="19.53125" bestFit="1" customWidth="1"/>
    <col min="10" max="10" width="26.59765625" bestFit="1" customWidth="1"/>
    <col min="11" max="11" width="15.86328125" bestFit="1" customWidth="1"/>
    <col min="12" max="12" width="16.59765625" bestFit="1" customWidth="1"/>
    <col min="13" max="13" width="14.86328125" bestFit="1" customWidth="1"/>
    <col min="14" max="14" width="9.19921875" bestFit="1" customWidth="1"/>
  </cols>
  <sheetData>
    <row r="1" spans="1:14" x14ac:dyDescent="0.45">
      <c r="A1" s="8" t="s">
        <v>18</v>
      </c>
      <c r="B1" s="9" t="s">
        <v>6</v>
      </c>
      <c r="C1" s="9" t="s">
        <v>7</v>
      </c>
      <c r="D1" s="9" t="s">
        <v>51</v>
      </c>
      <c r="E1" s="9" t="s">
        <v>52</v>
      </c>
      <c r="F1" s="9" t="s">
        <v>53</v>
      </c>
      <c r="G1" s="9" t="s">
        <v>54</v>
      </c>
      <c r="H1" s="9" t="s">
        <v>55</v>
      </c>
      <c r="I1" s="9" t="s">
        <v>56</v>
      </c>
      <c r="J1" s="9" t="s">
        <v>57</v>
      </c>
      <c r="K1" s="10" t="s">
        <v>8</v>
      </c>
      <c r="L1" s="10" t="s">
        <v>9</v>
      </c>
      <c r="M1" s="10" t="s">
        <v>50</v>
      </c>
      <c r="N1" s="11" t="s">
        <v>25</v>
      </c>
    </row>
    <row r="2" spans="1:14" x14ac:dyDescent="0.45">
      <c r="A2" s="76" t="s">
        <v>19</v>
      </c>
      <c r="B2" s="20" t="s">
        <v>32</v>
      </c>
      <c r="C2" s="21" t="s">
        <v>11</v>
      </c>
      <c r="D2" s="22">
        <v>5</v>
      </c>
      <c r="E2" s="22">
        <v>1</v>
      </c>
      <c r="F2" s="22">
        <f>Octobre[[#This Row],[Temps Passé Période (h)]]+Septembre[[#This Row],[Temps Passé Cumul (h)]]</f>
        <v>7</v>
      </c>
      <c r="G2" s="22">
        <f>MAX(Octobre[[#This Row],[Charge Initiale (h)]]-Octobre[[#This Row],[Temps Passé Cumul (h)]], 0)</f>
        <v>0</v>
      </c>
      <c r="H2" s="22">
        <f>Octobre[[#This Row],[Temps Passé Cumul (h)]]+Octobre[[#This Row],[Reste à Passer (h)]]</f>
        <v>7</v>
      </c>
      <c r="I2" s="22">
        <f>Octobre[[#This Row],[Charge Initiale (h)]]-Octobre[[#This Row],[Charge Révisée (h)]]</f>
        <v>-2</v>
      </c>
      <c r="J2" s="22" t="str">
        <f>IF(Octobre[[#This Row],[Qui]]="Chef de projet","35",IF(Octobre[[#This Row],[Qui]]="Ingénieur Electronique","32",IF(Octobre[[#This Row],[Qui]]="Ingénieur qualité","36",IF(Octobre[[#This Row],[Qui]]="Ingénieur Développement",30,IF(Octobre[[#This Row],[Qui]]="Ingénieur Mécanique",34,"")))))</f>
        <v>35</v>
      </c>
      <c r="K2" s="22">
        <f>Octobre[[#This Row],[Charge Initiale (h)]]*Octobre[[#This Row],[Prix de Revient Unitaire (€)]]</f>
        <v>175</v>
      </c>
      <c r="L2" s="22">
        <f>Octobre[[#This Row],[Charge Révisée (h)]]*Octobre[[#This Row],[Prix de Revient Unitaire (€)]]</f>
        <v>245</v>
      </c>
      <c r="M2" s="22">
        <f>Octobre[[#This Row],[Prix de Revient Unitaire (€)]]*Octobre[[#This Row],[Temps Passé Cumul (h)]]</f>
        <v>245</v>
      </c>
      <c r="N2" s="23" t="s">
        <v>28</v>
      </c>
    </row>
    <row r="3" spans="1:14" x14ac:dyDescent="0.45">
      <c r="A3" s="77"/>
      <c r="B3" s="20" t="s">
        <v>33</v>
      </c>
      <c r="C3" s="21" t="s">
        <v>11</v>
      </c>
      <c r="D3" s="22">
        <v>5</v>
      </c>
      <c r="E3" s="22">
        <v>3</v>
      </c>
      <c r="F3" s="22">
        <f>Octobre[[#This Row],[Temps Passé Période (h)]]+Septembre[[#This Row],[Temps Passé Cumul (h)]]</f>
        <v>4</v>
      </c>
      <c r="G3" s="22">
        <f>MAX(Octobre[[#This Row],[Charge Initiale (h)]]-Octobre[[#This Row],[Temps Passé Cumul (h)]], 0)</f>
        <v>1</v>
      </c>
      <c r="H3" s="22">
        <f>Octobre[[#This Row],[Temps Passé Cumul (h)]]+Octobre[[#This Row],[Reste à Passer (h)]]</f>
        <v>5</v>
      </c>
      <c r="I3" s="22">
        <f>Octobre[[#This Row],[Charge Initiale (h)]]-Octobre[[#This Row],[Charge Révisée (h)]]</f>
        <v>0</v>
      </c>
      <c r="J3" s="22" t="str">
        <f>IF(Octobre[[#This Row],[Qui]]="Chef de projet","35",IF(Octobre[[#This Row],[Qui]]="Ingénieur Electronique","32",IF(Octobre[[#This Row],[Qui]]="Ingénieur qualité","36",IF(Octobre[[#This Row],[Qui]]="Ingénieur Développement",30,IF(Octobre[[#This Row],[Qui]]="Ingénieur Mécanique",34,"")))))</f>
        <v>35</v>
      </c>
      <c r="K3" s="22">
        <f>Octobre[[#This Row],[Charge Initiale (h)]]*Octobre[[#This Row],[Prix de Revient Unitaire (€)]]</f>
        <v>175</v>
      </c>
      <c r="L3" s="22">
        <f>Octobre[[#This Row],[Charge Révisée (h)]]*Octobre[[#This Row],[Prix de Revient Unitaire (€)]]</f>
        <v>175</v>
      </c>
      <c r="M3" s="22">
        <f>Octobre[[#This Row],[Prix de Revient Unitaire (€)]]*Octobre[[#This Row],[Temps Passé Cumul (h)]]</f>
        <v>140</v>
      </c>
      <c r="N3" s="23" t="s">
        <v>28</v>
      </c>
    </row>
    <row r="4" spans="1:14" x14ac:dyDescent="0.45">
      <c r="A4" s="77"/>
      <c r="B4" s="20" t="s">
        <v>34</v>
      </c>
      <c r="C4" s="21" t="s">
        <v>11</v>
      </c>
      <c r="D4" s="22">
        <v>2</v>
      </c>
      <c r="E4" s="22">
        <v>0</v>
      </c>
      <c r="F4" s="22">
        <f>Octobre[[#This Row],[Temps Passé Période (h)]]+Septembre[[#This Row],[Temps Passé Cumul (h)]]</f>
        <v>3</v>
      </c>
      <c r="G4" s="22">
        <f>MAX(Octobre[[#This Row],[Charge Initiale (h)]]-Octobre[[#This Row],[Temps Passé Cumul (h)]], 0)</f>
        <v>0</v>
      </c>
      <c r="H4" s="22">
        <f>Octobre[[#This Row],[Temps Passé Cumul (h)]]+Octobre[[#This Row],[Reste à Passer (h)]]</f>
        <v>3</v>
      </c>
      <c r="I4" s="22">
        <f>Octobre[[#This Row],[Charge Initiale (h)]]-Octobre[[#This Row],[Charge Révisée (h)]]</f>
        <v>-1</v>
      </c>
      <c r="J4" s="24" t="str">
        <f>IF(Octobre[[#This Row],[Qui]]="Chef de projet","35",IF(Octobre[[#This Row],[Qui]]="Ingénieur Electronique","32",IF(Octobre[[#This Row],[Qui]]="Ingénieur qualité","36",IF(Octobre[[#This Row],[Qui]]="Ingénieur Développement",30,IF(Octobre[[#This Row],[Qui]]="Ingénieur Mécanique",34,"")))))</f>
        <v>35</v>
      </c>
      <c r="K4" s="22">
        <f>Octobre[[#This Row],[Charge Initiale (h)]]*Octobre[[#This Row],[Prix de Revient Unitaire (€)]]</f>
        <v>70</v>
      </c>
      <c r="L4" s="22">
        <f>Octobre[[#This Row],[Charge Révisée (h)]]*Octobre[[#This Row],[Prix de Revient Unitaire (€)]]</f>
        <v>105</v>
      </c>
      <c r="M4" s="22">
        <f>Octobre[[#This Row],[Prix de Revient Unitaire (€)]]*Octobre[[#This Row],[Temps Passé Cumul (h)]]</f>
        <v>105</v>
      </c>
      <c r="N4" s="23" t="s">
        <v>28</v>
      </c>
    </row>
    <row r="5" spans="1:14" x14ac:dyDescent="0.45">
      <c r="A5" s="78"/>
      <c r="B5" s="20" t="s">
        <v>35</v>
      </c>
      <c r="C5" s="21" t="s">
        <v>11</v>
      </c>
      <c r="D5" s="22">
        <v>2</v>
      </c>
      <c r="E5" s="22">
        <v>2</v>
      </c>
      <c r="F5" s="22">
        <f>Octobre[[#This Row],[Temps Passé Période (h)]]+Septembre[[#This Row],[Temps Passé Cumul (h)]]</f>
        <v>2</v>
      </c>
      <c r="G5" s="22">
        <f>MAX(Octobre[[#This Row],[Charge Initiale (h)]]-Octobre[[#This Row],[Temps Passé Cumul (h)]], 0)</f>
        <v>0</v>
      </c>
      <c r="H5" s="22">
        <f>Octobre[[#This Row],[Temps Passé Cumul (h)]]+Octobre[[#This Row],[Reste à Passer (h)]]</f>
        <v>2</v>
      </c>
      <c r="I5" s="22">
        <f>Octobre[[#This Row],[Charge Initiale (h)]]-Octobre[[#This Row],[Charge Révisée (h)]]</f>
        <v>0</v>
      </c>
      <c r="J5" s="24" t="str">
        <f>IF(Octobre[[#This Row],[Qui]]="Chef de projet","35",IF(Octobre[[#This Row],[Qui]]="Ingénieur Electronique","32",IF(Octobre[[#This Row],[Qui]]="Ingénieur qualité","36",IF(Octobre[[#This Row],[Qui]]="Ingénieur Développement",30,IF(Octobre[[#This Row],[Qui]]="Ingénieur Mécanique",34,"")))))</f>
        <v>35</v>
      </c>
      <c r="K5" s="22">
        <f>Octobre[[#This Row],[Charge Initiale (h)]]*Octobre[[#This Row],[Prix de Revient Unitaire (€)]]</f>
        <v>70</v>
      </c>
      <c r="L5" s="22">
        <f>Octobre[[#This Row],[Charge Révisée (h)]]*Octobre[[#This Row],[Prix de Revient Unitaire (€)]]</f>
        <v>70</v>
      </c>
      <c r="M5" s="22">
        <f>Octobre[[#This Row],[Prix de Revient Unitaire (€)]]*Octobre[[#This Row],[Temps Passé Cumul (h)]]</f>
        <v>70</v>
      </c>
      <c r="N5" s="23" t="s">
        <v>28</v>
      </c>
    </row>
    <row r="6" spans="1:14" x14ac:dyDescent="0.45">
      <c r="A6" s="79" t="s">
        <v>12</v>
      </c>
      <c r="B6" s="5" t="s">
        <v>17</v>
      </c>
      <c r="C6" s="18" t="s">
        <v>11</v>
      </c>
      <c r="D6" s="4">
        <v>8</v>
      </c>
      <c r="E6" s="4">
        <v>8</v>
      </c>
      <c r="F6" s="4">
        <f>Octobre[[#This Row],[Temps Passé Période (h)]]+Septembre[[#This Row],[Temps Passé Cumul (h)]]</f>
        <v>8</v>
      </c>
      <c r="G6" s="4">
        <f>MAX(Octobre[[#This Row],[Charge Initiale (h)]]-Octobre[[#This Row],[Temps Passé Cumul (h)]], 0)</f>
        <v>0</v>
      </c>
      <c r="H6" s="4">
        <f>Octobre[[#This Row],[Temps Passé Cumul (h)]]+Octobre[[#This Row],[Reste à Passer (h)]]</f>
        <v>8</v>
      </c>
      <c r="I6" s="4">
        <f>Octobre[[#This Row],[Charge Initiale (h)]]-Octobre[[#This Row],[Charge Révisée (h)]]</f>
        <v>0</v>
      </c>
      <c r="J6" s="4" t="str">
        <f>IF(Octobre[[#This Row],[Qui]]="Chef de projet","35",IF(Octobre[[#This Row],[Qui]]="Ingénieur Electronique","32",IF(Octobre[[#This Row],[Qui]]="Ingénieur qualité","36",IF(Octobre[[#This Row],[Qui]]="Ingénieur Développement",30,IF(Octobre[[#This Row],[Qui]]="Ingénieur Mécanique",34,"")))))</f>
        <v>35</v>
      </c>
      <c r="K6" s="4">
        <f>Octobre[[#This Row],[Charge Initiale (h)]]*Octobre[[#This Row],[Prix de Revient Unitaire (€)]]</f>
        <v>280</v>
      </c>
      <c r="L6" s="4">
        <f>Octobre[[#This Row],[Charge Révisée (h)]]*Octobre[[#This Row],[Prix de Revient Unitaire (€)]]</f>
        <v>280</v>
      </c>
      <c r="M6" s="4">
        <f>Octobre[[#This Row],[Prix de Revient Unitaire (€)]]*Octobre[[#This Row],[Temps Passé Cumul (h)]]</f>
        <v>280</v>
      </c>
      <c r="N6" s="12" t="s">
        <v>28</v>
      </c>
    </row>
    <row r="7" spans="1:14" x14ac:dyDescent="0.45">
      <c r="A7" s="80"/>
      <c r="B7" s="5" t="s">
        <v>36</v>
      </c>
      <c r="C7" s="18" t="s">
        <v>11</v>
      </c>
      <c r="D7" s="4">
        <v>3</v>
      </c>
      <c r="E7" s="4">
        <v>3</v>
      </c>
      <c r="F7" s="4">
        <f>Octobre[[#This Row],[Temps Passé Période (h)]]+Septembre[[#This Row],[Temps Passé Cumul (h)]]</f>
        <v>3</v>
      </c>
      <c r="G7" s="4">
        <f>MAX(Octobre[[#This Row],[Charge Initiale (h)]]-Octobre[[#This Row],[Temps Passé Cumul (h)]], 0)</f>
        <v>0</v>
      </c>
      <c r="H7" s="4">
        <f>Octobre[[#This Row],[Temps Passé Cumul (h)]]+Octobre[[#This Row],[Reste à Passer (h)]]</f>
        <v>3</v>
      </c>
      <c r="I7" s="4">
        <f>Octobre[[#This Row],[Charge Initiale (h)]]-Octobre[[#This Row],[Charge Révisée (h)]]</f>
        <v>0</v>
      </c>
      <c r="J7" s="4" t="str">
        <f>IF(Octobre[[#This Row],[Qui]]="Chef de projet","35",IF(Octobre[[#This Row],[Qui]]="Ingénieur Electronique","32",IF(Octobre[[#This Row],[Qui]]="Ingénieur qualité","36",IF(Octobre[[#This Row],[Qui]]="Ingénieur Développement",30,IF(Octobre[[#This Row],[Qui]]="Ingénieur Mécanique",34,"")))))</f>
        <v>35</v>
      </c>
      <c r="K7" s="4">
        <f>Octobre[[#This Row],[Charge Initiale (h)]]*Octobre[[#This Row],[Prix de Revient Unitaire (€)]]</f>
        <v>105</v>
      </c>
      <c r="L7" s="4">
        <f>Octobre[[#This Row],[Charge Révisée (h)]]*Octobre[[#This Row],[Prix de Revient Unitaire (€)]]</f>
        <v>105</v>
      </c>
      <c r="M7" s="4">
        <f>Octobre[[#This Row],[Prix de Revient Unitaire (€)]]*Octobre[[#This Row],[Temps Passé Cumul (h)]]</f>
        <v>105</v>
      </c>
      <c r="N7" s="12" t="s">
        <v>28</v>
      </c>
    </row>
    <row r="8" spans="1:14" x14ac:dyDescent="0.45">
      <c r="A8" s="80"/>
      <c r="B8" s="5" t="s">
        <v>37</v>
      </c>
      <c r="C8" s="18" t="s">
        <v>11</v>
      </c>
      <c r="D8" s="4">
        <v>3</v>
      </c>
      <c r="E8" s="4">
        <v>3</v>
      </c>
      <c r="F8" s="4">
        <f>Octobre[[#This Row],[Temps Passé Période (h)]]+Septembre[[#This Row],[Temps Passé Cumul (h)]]</f>
        <v>3</v>
      </c>
      <c r="G8" s="4">
        <f>MAX(Octobre[[#This Row],[Charge Initiale (h)]]-Octobre[[#This Row],[Temps Passé Cumul (h)]], 0)</f>
        <v>0</v>
      </c>
      <c r="H8" s="4">
        <f>Octobre[[#This Row],[Temps Passé Cumul (h)]]+Octobre[[#This Row],[Reste à Passer (h)]]</f>
        <v>3</v>
      </c>
      <c r="I8" s="4">
        <f>Octobre[[#This Row],[Charge Initiale (h)]]-Octobre[[#This Row],[Charge Révisée (h)]]</f>
        <v>0</v>
      </c>
      <c r="J8" s="4" t="str">
        <f>IF(Octobre[[#This Row],[Qui]]="Chef de projet","35",IF(Octobre[[#This Row],[Qui]]="Ingénieur Electronique","32",IF(Octobre[[#This Row],[Qui]]="Ingénieur qualité","36",IF(Octobre[[#This Row],[Qui]]="Ingénieur Développement",30,IF(Octobre[[#This Row],[Qui]]="Ingénieur Mécanique",34,"")))))</f>
        <v>35</v>
      </c>
      <c r="K8" s="4">
        <f>Octobre[[#This Row],[Charge Initiale (h)]]*Octobre[[#This Row],[Prix de Revient Unitaire (€)]]</f>
        <v>105</v>
      </c>
      <c r="L8" s="4">
        <f>Octobre[[#This Row],[Charge Révisée (h)]]*Octobre[[#This Row],[Prix de Revient Unitaire (€)]]</f>
        <v>105</v>
      </c>
      <c r="M8" s="4">
        <f>Octobre[[#This Row],[Prix de Revient Unitaire (€)]]*Octobre[[#This Row],[Temps Passé Cumul (h)]]</f>
        <v>105</v>
      </c>
      <c r="N8" s="12" t="s">
        <v>28</v>
      </c>
    </row>
    <row r="9" spans="1:14" x14ac:dyDescent="0.45">
      <c r="A9" s="81"/>
      <c r="B9" s="5" t="s">
        <v>38</v>
      </c>
      <c r="C9" s="18" t="s">
        <v>11</v>
      </c>
      <c r="D9" s="4">
        <v>1.5</v>
      </c>
      <c r="E9" s="4">
        <v>0</v>
      </c>
      <c r="F9" s="4">
        <f>Octobre[[#This Row],[Temps Passé Période (h)]]+Septembre[[#This Row],[Temps Passé Cumul (h)]]</f>
        <v>0</v>
      </c>
      <c r="G9" s="4">
        <f>MAX(Octobre[[#This Row],[Charge Initiale (h)]]-Octobre[[#This Row],[Temps Passé Cumul (h)]], 0)</f>
        <v>1.5</v>
      </c>
      <c r="H9" s="4">
        <f>Octobre[[#This Row],[Temps Passé Cumul (h)]]+Octobre[[#This Row],[Reste à Passer (h)]]</f>
        <v>1.5</v>
      </c>
      <c r="I9" s="4">
        <f>Octobre[[#This Row],[Charge Initiale (h)]]-Octobre[[#This Row],[Charge Révisée (h)]]</f>
        <v>0</v>
      </c>
      <c r="J9" s="4" t="str">
        <f>IF(Octobre[[#This Row],[Qui]]="Chef de projet","35",IF(Octobre[[#This Row],[Qui]]="Ingénieur Electronique","32",IF(Octobre[[#This Row],[Qui]]="Ingénieur qualité","36",IF(Octobre[[#This Row],[Qui]]="Ingénieur Développement",30,IF(Octobre[[#This Row],[Qui]]="Ingénieur Mécanique",34,"")))))</f>
        <v>35</v>
      </c>
      <c r="K9" s="4">
        <f>Octobre[[#This Row],[Charge Initiale (h)]]*Octobre[[#This Row],[Prix de Revient Unitaire (€)]]</f>
        <v>52.5</v>
      </c>
      <c r="L9" s="4">
        <f>Octobre[[#This Row],[Charge Révisée (h)]]*Octobre[[#This Row],[Prix de Revient Unitaire (€)]]</f>
        <v>52.5</v>
      </c>
      <c r="M9" s="4">
        <f>Octobre[[#This Row],[Prix de Revient Unitaire (€)]]*Octobre[[#This Row],[Temps Passé Cumul (h)]]</f>
        <v>0</v>
      </c>
      <c r="N9" s="12" t="s">
        <v>29</v>
      </c>
    </row>
    <row r="10" spans="1:14" x14ac:dyDescent="0.45">
      <c r="A10" s="82" t="s">
        <v>20</v>
      </c>
      <c r="B10" s="25" t="s">
        <v>39</v>
      </c>
      <c r="C10" s="26" t="s">
        <v>11</v>
      </c>
      <c r="D10" s="27">
        <v>5.5</v>
      </c>
      <c r="E10" s="27">
        <v>0</v>
      </c>
      <c r="F10" s="27">
        <f>Octobre[[#This Row],[Temps Passé Période (h)]]+Septembre[[#This Row],[Temps Passé Cumul (h)]]</f>
        <v>0</v>
      </c>
      <c r="G10" s="27">
        <f>MAX(Octobre[[#This Row],[Charge Initiale (h)]]-Octobre[[#This Row],[Temps Passé Cumul (h)]], 0)</f>
        <v>5.5</v>
      </c>
      <c r="H10" s="27">
        <f>Octobre[[#This Row],[Temps Passé Cumul (h)]]+Octobre[[#This Row],[Reste à Passer (h)]]</f>
        <v>5.5</v>
      </c>
      <c r="I10" s="27">
        <f>Octobre[[#This Row],[Charge Initiale (h)]]-Octobre[[#This Row],[Charge Révisée (h)]]</f>
        <v>0</v>
      </c>
      <c r="J10" s="27" t="str">
        <f>IF(Octobre[[#This Row],[Qui]]="Chef de projet","35",IF(Octobre[[#This Row],[Qui]]="Ingénieur Electronique","32",IF(Octobre[[#This Row],[Qui]]="Ingénieur qualité","36",IF(Octobre[[#This Row],[Qui]]="Ingénieur Développement",30,IF(Octobre[[#This Row],[Qui]]="Ingénieur Mécanique",34,"")))))</f>
        <v>35</v>
      </c>
      <c r="K10" s="27">
        <f>Octobre[[#This Row],[Charge Initiale (h)]]*Octobre[[#This Row],[Prix de Revient Unitaire (€)]]</f>
        <v>192.5</v>
      </c>
      <c r="L10" s="27">
        <f>Octobre[[#This Row],[Charge Révisée (h)]]*Octobre[[#This Row],[Prix de Revient Unitaire (€)]]</f>
        <v>192.5</v>
      </c>
      <c r="M10" s="27">
        <f>Octobre[[#This Row],[Prix de Revient Unitaire (€)]]*Octobre[[#This Row],[Temps Passé Cumul (h)]]</f>
        <v>0</v>
      </c>
      <c r="N10" s="28" t="s">
        <v>29</v>
      </c>
    </row>
    <row r="11" spans="1:14" x14ac:dyDescent="0.45">
      <c r="A11" s="83"/>
      <c r="B11" s="25" t="s">
        <v>40</v>
      </c>
      <c r="C11" s="26" t="s">
        <v>11</v>
      </c>
      <c r="D11" s="27">
        <v>3</v>
      </c>
      <c r="E11" s="27">
        <v>0</v>
      </c>
      <c r="F11" s="27">
        <f>Octobre[[#This Row],[Temps Passé Période (h)]]+Septembre[[#This Row],[Temps Passé Cumul (h)]]</f>
        <v>0</v>
      </c>
      <c r="G11" s="27">
        <f>MAX(Octobre[[#This Row],[Charge Initiale (h)]]-Octobre[[#This Row],[Temps Passé Cumul (h)]], 0)</f>
        <v>3</v>
      </c>
      <c r="H11" s="27">
        <f>Octobre[[#This Row],[Temps Passé Cumul (h)]]+Octobre[[#This Row],[Reste à Passer (h)]]</f>
        <v>3</v>
      </c>
      <c r="I11" s="27">
        <f>Octobre[[#This Row],[Charge Initiale (h)]]-Octobre[[#This Row],[Charge Révisée (h)]]</f>
        <v>0</v>
      </c>
      <c r="J11" s="27" t="str">
        <f>IF(Octobre[[#This Row],[Qui]]="Chef de projet","35",IF(Octobre[[#This Row],[Qui]]="Ingénieur Electronique","32",IF(Octobre[[#This Row],[Qui]]="Ingénieur qualité","36",IF(Octobre[[#This Row],[Qui]]="Ingénieur Développement",30,IF(Octobre[[#This Row],[Qui]]="Ingénieur Mécanique",34,"")))))</f>
        <v>35</v>
      </c>
      <c r="K11" s="27">
        <f>Octobre[[#This Row],[Charge Initiale (h)]]*Octobre[[#This Row],[Prix de Revient Unitaire (€)]]</f>
        <v>105</v>
      </c>
      <c r="L11" s="27">
        <f>Octobre[[#This Row],[Charge Révisée (h)]]*Octobre[[#This Row],[Prix de Revient Unitaire (€)]]</f>
        <v>105</v>
      </c>
      <c r="M11" s="27">
        <f>Octobre[[#This Row],[Prix de Revient Unitaire (€)]]*Octobre[[#This Row],[Temps Passé Cumul (h)]]</f>
        <v>0</v>
      </c>
      <c r="N11" s="28" t="s">
        <v>29</v>
      </c>
    </row>
    <row r="12" spans="1:14" x14ac:dyDescent="0.45">
      <c r="A12" s="84"/>
      <c r="B12" s="25" t="s">
        <v>41</v>
      </c>
      <c r="C12" s="26" t="s">
        <v>11</v>
      </c>
      <c r="D12" s="27">
        <v>2</v>
      </c>
      <c r="E12" s="27">
        <v>0</v>
      </c>
      <c r="F12" s="27">
        <f>Octobre[[#This Row],[Temps Passé Période (h)]]+Septembre[[#This Row],[Temps Passé Cumul (h)]]</f>
        <v>0</v>
      </c>
      <c r="G12" s="27">
        <f>MAX(Octobre[[#This Row],[Charge Initiale (h)]]-Octobre[[#This Row],[Temps Passé Cumul (h)]], 0)</f>
        <v>2</v>
      </c>
      <c r="H12" s="27">
        <f>Octobre[[#This Row],[Temps Passé Cumul (h)]]+Octobre[[#This Row],[Reste à Passer (h)]]</f>
        <v>2</v>
      </c>
      <c r="I12" s="27">
        <f>Octobre[[#This Row],[Charge Initiale (h)]]-Octobre[[#This Row],[Charge Révisée (h)]]</f>
        <v>0</v>
      </c>
      <c r="J12" s="27" t="str">
        <f>IF(Octobre[[#This Row],[Qui]]="Chef de projet","35",IF(Octobre[[#This Row],[Qui]]="Ingénieur Electronique","32",IF(Octobre[[#This Row],[Qui]]="Ingénieur qualité","36",IF(Octobre[[#This Row],[Qui]]="Ingénieur Développement",30,IF(Octobre[[#This Row],[Qui]]="Ingénieur Mécanique",34,"")))))</f>
        <v>35</v>
      </c>
      <c r="K12" s="27">
        <f>Octobre[[#This Row],[Charge Initiale (h)]]*Octobre[[#This Row],[Prix de Revient Unitaire (€)]]</f>
        <v>70</v>
      </c>
      <c r="L12" s="27">
        <f>Octobre[[#This Row],[Charge Révisée (h)]]*Octobre[[#This Row],[Prix de Revient Unitaire (€)]]</f>
        <v>70</v>
      </c>
      <c r="M12" s="27">
        <f>Octobre[[#This Row],[Prix de Revient Unitaire (€)]]*Octobre[[#This Row],[Temps Passé Cumul (h)]]</f>
        <v>0</v>
      </c>
      <c r="N12" s="28" t="s">
        <v>29</v>
      </c>
    </row>
    <row r="13" spans="1:14" x14ac:dyDescent="0.45">
      <c r="A13" s="85" t="s">
        <v>21</v>
      </c>
      <c r="B13" s="7" t="s">
        <v>42</v>
      </c>
      <c r="C13" s="19" t="s">
        <v>11</v>
      </c>
      <c r="D13" s="6">
        <v>7</v>
      </c>
      <c r="E13" s="6">
        <v>0</v>
      </c>
      <c r="F13" s="6">
        <f>Octobre[[#This Row],[Temps Passé Période (h)]]+Septembre[[#This Row],[Temps Passé Cumul (h)]]</f>
        <v>0</v>
      </c>
      <c r="G13" s="6">
        <f>MAX(Octobre[[#This Row],[Charge Initiale (h)]]-Octobre[[#This Row],[Temps Passé Cumul (h)]], 0)</f>
        <v>7</v>
      </c>
      <c r="H13" s="6">
        <f>Octobre[[#This Row],[Temps Passé Cumul (h)]]+Octobre[[#This Row],[Reste à Passer (h)]]</f>
        <v>7</v>
      </c>
      <c r="I13" s="6">
        <f>Octobre[[#This Row],[Charge Initiale (h)]]-Octobre[[#This Row],[Charge Révisée (h)]]</f>
        <v>0</v>
      </c>
      <c r="J13" s="6" t="str">
        <f>IF(Octobre[[#This Row],[Qui]]="Chef de projet","35",IF(Octobre[[#This Row],[Qui]]="Ingénieur Electronique","32",IF(Octobre[[#This Row],[Qui]]="Ingénieur qualité","36",IF(Octobre[[#This Row],[Qui]]="Ingénieur Développement",30,IF(Octobre[[#This Row],[Qui]]="Ingénieur Mécanique",34,"")))))</f>
        <v>35</v>
      </c>
      <c r="K13" s="6">
        <f>Octobre[[#This Row],[Charge Initiale (h)]]*Octobre[[#This Row],[Prix de Revient Unitaire (€)]]</f>
        <v>245</v>
      </c>
      <c r="L13" s="6">
        <f>Octobre[[#This Row],[Charge Révisée (h)]]*Octobre[[#This Row],[Prix de Revient Unitaire (€)]]</f>
        <v>245</v>
      </c>
      <c r="M13" s="6">
        <f>Octobre[[#This Row],[Prix de Revient Unitaire (€)]]*Octobre[[#This Row],[Temps Passé Cumul (h)]]</f>
        <v>0</v>
      </c>
      <c r="N13" s="13" t="s">
        <v>29</v>
      </c>
    </row>
    <row r="14" spans="1:14" x14ac:dyDescent="0.45">
      <c r="A14" s="86"/>
      <c r="B14" s="7" t="s">
        <v>49</v>
      </c>
      <c r="C14" s="19" t="s">
        <v>11</v>
      </c>
      <c r="D14" s="6">
        <v>4</v>
      </c>
      <c r="E14" s="6">
        <v>0</v>
      </c>
      <c r="F14" s="6">
        <f>Octobre[[#This Row],[Temps Passé Période (h)]]+Septembre[[#This Row],[Temps Passé Cumul (h)]]</f>
        <v>0</v>
      </c>
      <c r="G14" s="6">
        <f>MAX(Octobre[[#This Row],[Charge Initiale (h)]]-Octobre[[#This Row],[Temps Passé Cumul (h)]], 0)</f>
        <v>4</v>
      </c>
      <c r="H14" s="6">
        <f>Octobre[[#This Row],[Temps Passé Cumul (h)]]+Octobre[[#This Row],[Reste à Passer (h)]]</f>
        <v>4</v>
      </c>
      <c r="I14" s="6">
        <f>Octobre[[#This Row],[Charge Initiale (h)]]-Octobre[[#This Row],[Charge Révisée (h)]]</f>
        <v>0</v>
      </c>
      <c r="J14" s="6" t="str">
        <f>IF(Octobre[[#This Row],[Qui]]="Chef de projet","35",IF(Octobre[[#This Row],[Qui]]="Ingénieur Electronique","32",IF(Octobre[[#This Row],[Qui]]="Ingénieur qualité","36",IF(Octobre[[#This Row],[Qui]]="Ingénieur Développement",30,IF(Octobre[[#This Row],[Qui]]="Ingénieur Mécanique",34,"")))))</f>
        <v>35</v>
      </c>
      <c r="K14" s="6">
        <f>Octobre[[#This Row],[Charge Initiale (h)]]*Octobre[[#This Row],[Prix de Revient Unitaire (€)]]</f>
        <v>140</v>
      </c>
      <c r="L14" s="6">
        <f>Octobre[[#This Row],[Charge Révisée (h)]]*Octobre[[#This Row],[Prix de Revient Unitaire (€)]]</f>
        <v>140</v>
      </c>
      <c r="M14" s="6">
        <f>Octobre[[#This Row],[Prix de Revient Unitaire (€)]]*Octobre[[#This Row],[Temps Passé Cumul (h)]]</f>
        <v>0</v>
      </c>
      <c r="N14" s="13" t="s">
        <v>29</v>
      </c>
    </row>
    <row r="15" spans="1:14" x14ac:dyDescent="0.45">
      <c r="A15" s="29" t="s">
        <v>22</v>
      </c>
      <c r="B15" s="30" t="s">
        <v>43</v>
      </c>
      <c r="C15" s="31" t="s">
        <v>11</v>
      </c>
      <c r="D15" s="32">
        <v>20</v>
      </c>
      <c r="E15" s="32">
        <v>0</v>
      </c>
      <c r="F15" s="32">
        <f>Octobre[[#This Row],[Temps Passé Période (h)]]+Septembre[[#This Row],[Temps Passé Cumul (h)]]</f>
        <v>0</v>
      </c>
      <c r="G15" s="32">
        <f>MAX(Octobre[[#This Row],[Charge Initiale (h)]]-Octobre[[#This Row],[Temps Passé Cumul (h)]], 0)</f>
        <v>20</v>
      </c>
      <c r="H15" s="32">
        <f>Octobre[[#This Row],[Temps Passé Cumul (h)]]+Octobre[[#This Row],[Reste à Passer (h)]]</f>
        <v>20</v>
      </c>
      <c r="I15" s="32">
        <f>Octobre[[#This Row],[Charge Initiale (h)]]-Octobre[[#This Row],[Charge Révisée (h)]]</f>
        <v>0</v>
      </c>
      <c r="J15" s="32" t="str">
        <f>IF(Octobre[[#This Row],[Qui]]="Chef de projet","35",IF(Octobre[[#This Row],[Qui]]="Ingénieur Electronique","32",IF(Octobre[[#This Row],[Qui]]="Ingénieur qualité","36",IF(Octobre[[#This Row],[Qui]]="Ingénieur Développement",30,IF(Octobre[[#This Row],[Qui]]="Ingénieur Mécanique",34,"")))))</f>
        <v>35</v>
      </c>
      <c r="K15" s="32">
        <f>Octobre[[#This Row],[Charge Initiale (h)]]*Octobre[[#This Row],[Prix de Revient Unitaire (€)]]</f>
        <v>700</v>
      </c>
      <c r="L15" s="32">
        <f>Octobre[[#This Row],[Charge Révisée (h)]]*Octobre[[#This Row],[Prix de Revient Unitaire (€)]]</f>
        <v>700</v>
      </c>
      <c r="M15" s="32">
        <f>Octobre[[#This Row],[Prix de Revient Unitaire (€)]]*Octobre[[#This Row],[Temps Passé Cumul (h)]]</f>
        <v>0</v>
      </c>
      <c r="N15" s="33" t="s">
        <v>29</v>
      </c>
    </row>
    <row r="16" spans="1:14" x14ac:dyDescent="0.45">
      <c r="A16" s="34" t="s">
        <v>23</v>
      </c>
      <c r="B16" s="35" t="s">
        <v>44</v>
      </c>
      <c r="C16" s="36" t="s">
        <v>11</v>
      </c>
      <c r="D16" s="37">
        <v>6</v>
      </c>
      <c r="E16" s="37">
        <v>0</v>
      </c>
      <c r="F16" s="37">
        <f>Octobre[[#This Row],[Temps Passé Période (h)]]+Septembre[[#This Row],[Temps Passé Cumul (h)]]</f>
        <v>0</v>
      </c>
      <c r="G16" s="37">
        <f>MAX(Octobre[[#This Row],[Charge Initiale (h)]]-Octobre[[#This Row],[Temps Passé Cumul (h)]], 0)</f>
        <v>6</v>
      </c>
      <c r="H16" s="37">
        <f>Octobre[[#This Row],[Temps Passé Cumul (h)]]+Octobre[[#This Row],[Reste à Passer (h)]]</f>
        <v>6</v>
      </c>
      <c r="I16" s="37">
        <f>Octobre[[#This Row],[Charge Initiale (h)]]-Octobre[[#This Row],[Charge Révisée (h)]]</f>
        <v>0</v>
      </c>
      <c r="J16" s="37" t="str">
        <f>IF(Octobre[[#This Row],[Qui]]="Chef de projet","35",IF(Octobre[[#This Row],[Qui]]="Ingénieur Electronique","32",IF(Octobre[[#This Row],[Qui]]="Ingénieur qualité","36",IF(Octobre[[#This Row],[Qui]]="Ingénieur Développement",30,IF(Octobre[[#This Row],[Qui]]="Ingénieur Mécanique",34,"")))))</f>
        <v>35</v>
      </c>
      <c r="K16" s="37">
        <f>Octobre[[#This Row],[Charge Initiale (h)]]*Octobre[[#This Row],[Prix de Revient Unitaire (€)]]</f>
        <v>210</v>
      </c>
      <c r="L16" s="37">
        <f>Octobre[[#This Row],[Charge Révisée (h)]]*Octobre[[#This Row],[Prix de Revient Unitaire (€)]]</f>
        <v>210</v>
      </c>
      <c r="M16" s="37">
        <f>Octobre[[#This Row],[Prix de Revient Unitaire (€)]]*Octobre[[#This Row],[Temps Passé Cumul (h)]]</f>
        <v>0</v>
      </c>
      <c r="N16" s="38" t="s">
        <v>29</v>
      </c>
    </row>
    <row r="17" spans="1:14" x14ac:dyDescent="0.45">
      <c r="A17" s="39" t="s">
        <v>24</v>
      </c>
      <c r="B17" s="40" t="s">
        <v>45</v>
      </c>
      <c r="C17" s="41" t="s">
        <v>11</v>
      </c>
      <c r="D17" s="42">
        <v>4</v>
      </c>
      <c r="E17" s="42">
        <v>0</v>
      </c>
      <c r="F17" s="42">
        <f>Octobre[[#This Row],[Temps Passé Période (h)]]+Septembre[[#This Row],[Temps Passé Cumul (h)]]</f>
        <v>0</v>
      </c>
      <c r="G17" s="42">
        <f>MAX(Octobre[[#This Row],[Charge Initiale (h)]]-Octobre[[#This Row],[Temps Passé Cumul (h)]], 0)</f>
        <v>4</v>
      </c>
      <c r="H17" s="42">
        <f>Octobre[[#This Row],[Temps Passé Cumul (h)]]+Octobre[[#This Row],[Reste à Passer (h)]]</f>
        <v>4</v>
      </c>
      <c r="I17" s="42">
        <f>Octobre[[#This Row],[Charge Initiale (h)]]-Octobre[[#This Row],[Charge Révisée (h)]]</f>
        <v>0</v>
      </c>
      <c r="J17" s="42" t="str">
        <f>IF(Octobre[[#This Row],[Qui]]="Chef de projet","35",IF(Octobre[[#This Row],[Qui]]="Ingénieur Electronique","32",IF(Octobre[[#This Row],[Qui]]="Ingénieur qualité","36",IF(Octobre[[#This Row],[Qui]]="Ingénieur Développement",30,IF(Octobre[[#This Row],[Qui]]="Ingénieur Mécanique",34,"")))))</f>
        <v>35</v>
      </c>
      <c r="K17" s="42">
        <f>Octobre[[#This Row],[Charge Initiale (h)]]*Octobre[[#This Row],[Prix de Revient Unitaire (€)]]</f>
        <v>140</v>
      </c>
      <c r="L17" s="42">
        <f>Octobre[[#This Row],[Charge Révisée (h)]]*Octobre[[#This Row],[Prix de Revient Unitaire (€)]]</f>
        <v>140</v>
      </c>
      <c r="M17" s="42">
        <f>Octobre[[#This Row],[Prix de Revient Unitaire (€)]]*Octobre[[#This Row],[Temps Passé Cumul (h)]]</f>
        <v>0</v>
      </c>
      <c r="N17" s="43" t="s">
        <v>29</v>
      </c>
    </row>
    <row r="18" spans="1:14" x14ac:dyDescent="0.45">
      <c r="A18" s="72" t="s">
        <v>30</v>
      </c>
      <c r="B18" s="44" t="s">
        <v>46</v>
      </c>
      <c r="C18" s="44" t="s">
        <v>11</v>
      </c>
      <c r="D18" s="45">
        <v>3</v>
      </c>
      <c r="E18" s="45">
        <v>0</v>
      </c>
      <c r="F18" s="45">
        <f>Octobre[[#This Row],[Temps Passé Période (h)]]+Septembre[[#This Row],[Temps Passé Cumul (h)]]</f>
        <v>0</v>
      </c>
      <c r="G18" s="45">
        <f>MAX(Octobre[[#This Row],[Charge Initiale (h)]]-Octobre[[#This Row],[Temps Passé Cumul (h)]], 0)</f>
        <v>3</v>
      </c>
      <c r="H18" s="45">
        <f>Octobre[[#This Row],[Temps Passé Cumul (h)]]+Octobre[[#This Row],[Reste à Passer (h)]]</f>
        <v>3</v>
      </c>
      <c r="I18" s="45">
        <f>Octobre[[#This Row],[Charge Initiale (h)]]-Octobre[[#This Row],[Charge Révisée (h)]]</f>
        <v>0</v>
      </c>
      <c r="J18" s="45" t="str">
        <f>IF(Octobre[[#This Row],[Qui]]="Chef de projet","35",IF(Octobre[[#This Row],[Qui]]="Ingénieur Electronique","32",IF(Octobre[[#This Row],[Qui]]="Ingénieur qualité","36",IF(Octobre[[#This Row],[Qui]]="Ingénieur Développement",30,IF(Octobre[[#This Row],[Qui]]="Ingénieur Mécanique",34,"")))))</f>
        <v>35</v>
      </c>
      <c r="K18" s="45">
        <f>Octobre[[#This Row],[Charge Initiale (h)]]*Octobre[[#This Row],[Prix de Revient Unitaire (€)]]</f>
        <v>105</v>
      </c>
      <c r="L18" s="45">
        <f>Octobre[[#This Row],[Charge Révisée (h)]]*Octobre[[#This Row],[Prix de Revient Unitaire (€)]]</f>
        <v>105</v>
      </c>
      <c r="M18" s="45">
        <f>Octobre[[#This Row],[Prix de Revient Unitaire (€)]]*Octobre[[#This Row],[Temps Passé Cumul (h)]]</f>
        <v>0</v>
      </c>
      <c r="N18" s="46" t="s">
        <v>29</v>
      </c>
    </row>
    <row r="19" spans="1:14" x14ac:dyDescent="0.45">
      <c r="A19" s="73"/>
      <c r="B19" s="44" t="s">
        <v>47</v>
      </c>
      <c r="C19" s="44" t="s">
        <v>11</v>
      </c>
      <c r="D19" s="45">
        <v>8</v>
      </c>
      <c r="E19" s="45">
        <v>0</v>
      </c>
      <c r="F19" s="45">
        <f>Octobre[[#This Row],[Temps Passé Période (h)]]+Septembre[[#This Row],[Temps Passé Cumul (h)]]</f>
        <v>0</v>
      </c>
      <c r="G19" s="45">
        <f>MAX(Octobre[[#This Row],[Charge Initiale (h)]]-Octobre[[#This Row],[Temps Passé Cumul (h)]], 0)</f>
        <v>8</v>
      </c>
      <c r="H19" s="45">
        <f>Octobre[[#This Row],[Temps Passé Cumul (h)]]+Octobre[[#This Row],[Reste à Passer (h)]]</f>
        <v>8</v>
      </c>
      <c r="I19" s="45">
        <f>Octobre[[#This Row],[Charge Initiale (h)]]-Octobre[[#This Row],[Charge Révisée (h)]]</f>
        <v>0</v>
      </c>
      <c r="J19" s="45" t="str">
        <f>IF(Octobre[[#This Row],[Qui]]="Chef de projet","35",IF(Octobre[[#This Row],[Qui]]="Ingénieur Electronique","32",IF(Octobre[[#This Row],[Qui]]="Ingénieur qualité","36",IF(Octobre[[#This Row],[Qui]]="Ingénieur Développement",30,IF(Octobre[[#This Row],[Qui]]="Ingénieur Mécanique",34,"")))))</f>
        <v>35</v>
      </c>
      <c r="K19" s="45">
        <f>Octobre[[#This Row],[Charge Initiale (h)]]*Octobre[[#This Row],[Prix de Revient Unitaire (€)]]</f>
        <v>280</v>
      </c>
      <c r="L19" s="45">
        <f>Octobre[[#This Row],[Charge Révisée (h)]]*Octobre[[#This Row],[Prix de Revient Unitaire (€)]]</f>
        <v>280</v>
      </c>
      <c r="M19" s="45">
        <f>Octobre[[#This Row],[Prix de Revient Unitaire (€)]]*Octobre[[#This Row],[Temps Passé Cumul (h)]]</f>
        <v>0</v>
      </c>
      <c r="N19" s="46" t="s">
        <v>29</v>
      </c>
    </row>
    <row r="20" spans="1:14" x14ac:dyDescent="0.45">
      <c r="A20" s="47" t="s">
        <v>31</v>
      </c>
      <c r="B20" s="48" t="s">
        <v>48</v>
      </c>
      <c r="C20" s="48" t="s">
        <v>11</v>
      </c>
      <c r="D20" s="49">
        <v>2</v>
      </c>
      <c r="E20" s="49">
        <v>0</v>
      </c>
      <c r="F20" s="49">
        <f>Octobre[[#This Row],[Temps Passé Période (h)]]+Septembre[[#This Row],[Temps Passé Cumul (h)]]</f>
        <v>0</v>
      </c>
      <c r="G20" s="49">
        <f>MAX(Octobre[[#This Row],[Charge Initiale (h)]]-Octobre[[#This Row],[Temps Passé Cumul (h)]], 0)</f>
        <v>2</v>
      </c>
      <c r="H20" s="49">
        <f>Octobre[[#This Row],[Temps Passé Cumul (h)]]+Octobre[[#This Row],[Reste à Passer (h)]]</f>
        <v>2</v>
      </c>
      <c r="I20" s="49">
        <f>Octobre[[#This Row],[Charge Initiale (h)]]-Octobre[[#This Row],[Charge Révisée (h)]]</f>
        <v>0</v>
      </c>
      <c r="J20" s="49" t="str">
        <f>IF(Octobre[[#This Row],[Qui]]="Chef de projet","35",IF(Octobre[[#This Row],[Qui]]="Ingénieur Electronique","32",IF(Octobre[[#This Row],[Qui]]="Ingénieur qualité","36",IF(Octobre[[#This Row],[Qui]]="Ingénieur Développement",30,IF(Octobre[[#This Row],[Qui]]="Ingénieur Mécanique",34,"")))))</f>
        <v>35</v>
      </c>
      <c r="K20" s="49">
        <f>Octobre[[#This Row],[Charge Initiale (h)]]*Octobre[[#This Row],[Prix de Revient Unitaire (€)]]</f>
        <v>70</v>
      </c>
      <c r="L20" s="49">
        <f>Octobre[[#This Row],[Charge Révisée (h)]]*Octobre[[#This Row],[Prix de Revient Unitaire (€)]]</f>
        <v>70</v>
      </c>
      <c r="M20" s="49">
        <f>Octobre[[#This Row],[Prix de Revient Unitaire (€)]]*Octobre[[#This Row],[Temps Passé Cumul (h)]]</f>
        <v>0</v>
      </c>
      <c r="N20" s="50" t="s">
        <v>29</v>
      </c>
    </row>
    <row r="21" spans="1:14" ht="14.65" thickBot="1" x14ac:dyDescent="0.5">
      <c r="A21" s="14"/>
      <c r="B21" s="15" t="s">
        <v>13</v>
      </c>
      <c r="C21" s="15"/>
      <c r="D21" s="15">
        <f>SUBTOTAL(109,Octobre[Charge Initiale (h)])</f>
        <v>94</v>
      </c>
      <c r="E21" s="15">
        <f>SUBTOTAL(109,Octobre[Temps Passé Période (h)])</f>
        <v>20</v>
      </c>
      <c r="F21" s="15">
        <f>SUBTOTAL(109,Octobre[Temps Passé Cumul (h)])</f>
        <v>30</v>
      </c>
      <c r="G21" s="15">
        <f>SUBTOTAL(109,Octobre[Reste à Passer (h)])</f>
        <v>67</v>
      </c>
      <c r="H21" s="15">
        <f>SUBTOTAL(109,Octobre[Charge Révisée (h)])</f>
        <v>97</v>
      </c>
      <c r="I21" s="15">
        <f>SUBTOTAL(109,Octobre[Écart de Charge (h)])</f>
        <v>-3</v>
      </c>
      <c r="J21" s="15">
        <f>SUBTOTAL(109,Octobre[Prix de Revient Unitaire (€)])</f>
        <v>0</v>
      </c>
      <c r="K21" s="15">
        <f>SUBTOTAL(109,Octobre[Coût Initial (€)])</f>
        <v>3290</v>
      </c>
      <c r="L21" s="16">
        <f>SUBTOTAL(109,Octobre[Coût Révisé (€)])</f>
        <v>3395</v>
      </c>
      <c r="M21" s="15">
        <f>SUBTOTAL(109,Octobre[Coût Réel (€)])</f>
        <v>1050</v>
      </c>
      <c r="N21" s="17"/>
    </row>
    <row r="22" spans="1:14" x14ac:dyDescent="0.4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4" x14ac:dyDescent="0.45">
      <c r="B23" s="3" t="s">
        <v>15</v>
      </c>
      <c r="C23" s="3" t="s">
        <v>26</v>
      </c>
      <c r="M23" s="2" t="s">
        <v>27</v>
      </c>
    </row>
    <row r="24" spans="1:14" x14ac:dyDescent="0.45">
      <c r="B24" s="2" t="s">
        <v>16</v>
      </c>
      <c r="C24" s="2">
        <v>115</v>
      </c>
      <c r="M24" s="2" t="s">
        <v>28</v>
      </c>
    </row>
    <row r="25" spans="1:14" x14ac:dyDescent="0.45">
      <c r="B25" s="2" t="s">
        <v>13</v>
      </c>
      <c r="C25" s="2">
        <f>SUM(C24:C24)</f>
        <v>115</v>
      </c>
      <c r="M25" s="2" t="s">
        <v>29</v>
      </c>
    </row>
  </sheetData>
  <autoFilter ref="N1:N20" xr:uid="{2FD5F8AA-B985-436F-8152-E9F351E856E5}"/>
  <mergeCells count="5">
    <mergeCell ref="A2:A5"/>
    <mergeCell ref="A6:A9"/>
    <mergeCell ref="A10:A12"/>
    <mergeCell ref="A18:A19"/>
    <mergeCell ref="A13:A14"/>
  </mergeCells>
  <dataValidations count="2">
    <dataValidation type="list" allowBlank="1" showInputMessage="1" showErrorMessage="1" sqref="N2:N20" xr:uid="{3CF902A2-AA41-422F-9FCE-C4D9D5F29CCF}">
      <formula1>$M$24:$M$25</formula1>
    </dataValidation>
    <dataValidation type="list" allowBlank="1" showInputMessage="1" showErrorMessage="1" sqref="C2:C20" xr:uid="{9FCADF86-E41B-4633-A276-95DFA6F4E885}">
      <formula1>$B$24:$B$24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1" orientation="landscape" r:id="rId1"/>
  <headerFooter>
    <oddHeader>&amp;A</oddHead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31B63-70DF-4D51-93DE-CEF92E83A2B4}">
  <sheetPr>
    <pageSetUpPr fitToPage="1"/>
  </sheetPr>
  <dimension ref="A1:N25"/>
  <sheetViews>
    <sheetView zoomScale="65" zoomScaleNormal="65" workbookViewId="0">
      <selection activeCell="N1" sqref="N1"/>
    </sheetView>
  </sheetViews>
  <sheetFormatPr baseColWidth="10" defaultColWidth="8.53125" defaultRowHeight="14.25" x14ac:dyDescent="0.45"/>
  <cols>
    <col min="1" max="1" width="17.796875" bestFit="1" customWidth="1"/>
    <col min="2" max="2" width="39.06640625" bestFit="1" customWidth="1"/>
    <col min="3" max="3" width="14.86328125" bestFit="1" customWidth="1"/>
    <col min="4" max="4" width="18.73046875" bestFit="1" customWidth="1"/>
    <col min="5" max="5" width="24.19921875" bestFit="1" customWidth="1"/>
    <col min="6" max="6" width="22.9296875" bestFit="1" customWidth="1"/>
    <col min="7" max="7" width="18.73046875" bestFit="1" customWidth="1"/>
    <col min="8" max="8" width="19.46484375" bestFit="1" customWidth="1"/>
    <col min="9" max="9" width="19.53125" bestFit="1" customWidth="1"/>
    <col min="10" max="10" width="26.59765625" bestFit="1" customWidth="1"/>
    <col min="11" max="11" width="15.86328125" bestFit="1" customWidth="1"/>
    <col min="12" max="12" width="16.59765625" bestFit="1" customWidth="1"/>
    <col min="13" max="13" width="14.86328125" bestFit="1" customWidth="1"/>
    <col min="14" max="14" width="9.19921875" bestFit="1" customWidth="1"/>
  </cols>
  <sheetData>
    <row r="1" spans="1:14" x14ac:dyDescent="0.45">
      <c r="A1" s="8" t="s">
        <v>18</v>
      </c>
      <c r="B1" s="9" t="s">
        <v>6</v>
      </c>
      <c r="C1" s="9" t="s">
        <v>7</v>
      </c>
      <c r="D1" s="9" t="s">
        <v>51</v>
      </c>
      <c r="E1" s="9" t="s">
        <v>52</v>
      </c>
      <c r="F1" s="9" t="s">
        <v>53</v>
      </c>
      <c r="G1" s="9" t="s">
        <v>54</v>
      </c>
      <c r="H1" s="9" t="s">
        <v>55</v>
      </c>
      <c r="I1" s="9" t="s">
        <v>56</v>
      </c>
      <c r="J1" s="9" t="s">
        <v>57</v>
      </c>
      <c r="K1" s="10" t="s">
        <v>8</v>
      </c>
      <c r="L1" s="10" t="s">
        <v>9</v>
      </c>
      <c r="M1" s="10" t="s">
        <v>50</v>
      </c>
      <c r="N1" s="11" t="s">
        <v>25</v>
      </c>
    </row>
    <row r="2" spans="1:14" x14ac:dyDescent="0.45">
      <c r="A2" s="76" t="s">
        <v>19</v>
      </c>
      <c r="B2" s="20" t="s">
        <v>32</v>
      </c>
      <c r="C2" s="21" t="s">
        <v>11</v>
      </c>
      <c r="D2" s="22">
        <v>5</v>
      </c>
      <c r="E2" s="22">
        <v>0</v>
      </c>
      <c r="F2" s="22">
        <f>Novembre[[#This Row],[Temps Passé Période (h)]]+Octobre[[#This Row],[Temps Passé Cumul (h)]]</f>
        <v>7</v>
      </c>
      <c r="G2" s="22">
        <f>MAX(Novembre[[#This Row],[Charge Initiale (h)]]-Novembre[[#This Row],[Temps Passé Cumul (h)]], 0)</f>
        <v>0</v>
      </c>
      <c r="H2" s="22">
        <f>Novembre[[#This Row],[Temps Passé Cumul (h)]]+Novembre[[#This Row],[Reste à Passer (h)]]</f>
        <v>7</v>
      </c>
      <c r="I2" s="22">
        <f>Novembre[[#This Row],[Charge Initiale (h)]]-Novembre[[#This Row],[Charge Révisée (h)]]</f>
        <v>-2</v>
      </c>
      <c r="J2" s="22" t="str">
        <f>IF(Novembre[[#This Row],[Qui]]="Chef de projet","35",IF(Novembre[[#This Row],[Qui]]="Ingénieur Electronique","32",IF(Novembre[[#This Row],[Qui]]="Ingénieur qualité","36",IF(Novembre[[#This Row],[Qui]]="Ingénieur Développement",30,IF(Novembre[[#This Row],[Qui]]="Ingénieur Mécanique",34,"")))))</f>
        <v>35</v>
      </c>
      <c r="K2" s="22">
        <f>Novembre[[#This Row],[Charge Initiale (h)]]*Novembre[[#This Row],[Prix de Revient Unitaire (€)]]</f>
        <v>175</v>
      </c>
      <c r="L2" s="22">
        <f>Novembre[[#This Row],[Charge Révisée (h)]]*Novembre[[#This Row],[Prix de Revient Unitaire (€)]]</f>
        <v>245</v>
      </c>
      <c r="M2" s="22">
        <f>Novembre[[#This Row],[Prix de Revient Unitaire (€)]]*Novembre[[#This Row],[Temps Passé Cumul (h)]]</f>
        <v>245</v>
      </c>
      <c r="N2" s="23" t="s">
        <v>28</v>
      </c>
    </row>
    <row r="3" spans="1:14" x14ac:dyDescent="0.45">
      <c r="A3" s="77"/>
      <c r="B3" s="20" t="s">
        <v>33</v>
      </c>
      <c r="C3" s="21" t="s">
        <v>11</v>
      </c>
      <c r="D3" s="22">
        <v>5</v>
      </c>
      <c r="E3" s="22">
        <v>0</v>
      </c>
      <c r="F3" s="22">
        <f>Novembre[[#This Row],[Temps Passé Période (h)]]+Octobre[[#This Row],[Temps Passé Cumul (h)]]</f>
        <v>4</v>
      </c>
      <c r="G3" s="22">
        <f>MAX(Novembre[[#This Row],[Charge Initiale (h)]]-Novembre[[#This Row],[Temps Passé Cumul (h)]], 0)</f>
        <v>1</v>
      </c>
      <c r="H3" s="22">
        <f>Novembre[[#This Row],[Temps Passé Cumul (h)]]+Novembre[[#This Row],[Reste à Passer (h)]]</f>
        <v>5</v>
      </c>
      <c r="I3" s="22">
        <f>Novembre[[#This Row],[Charge Initiale (h)]]-Novembre[[#This Row],[Charge Révisée (h)]]</f>
        <v>0</v>
      </c>
      <c r="J3" s="22" t="str">
        <f>IF(Novembre[[#This Row],[Qui]]="Chef de projet","35",IF(Novembre[[#This Row],[Qui]]="Ingénieur Electronique","32",IF(Novembre[[#This Row],[Qui]]="Ingénieur qualité","36",IF(Novembre[[#This Row],[Qui]]="Ingénieur Développement",30,IF(Novembre[[#This Row],[Qui]]="Ingénieur Mécanique",34,"")))))</f>
        <v>35</v>
      </c>
      <c r="K3" s="22">
        <f>Novembre[[#This Row],[Charge Initiale (h)]]*Novembre[[#This Row],[Prix de Revient Unitaire (€)]]</f>
        <v>175</v>
      </c>
      <c r="L3" s="22">
        <f>Novembre[[#This Row],[Charge Révisée (h)]]*Novembre[[#This Row],[Prix de Revient Unitaire (€)]]</f>
        <v>175</v>
      </c>
      <c r="M3" s="22">
        <f>Novembre[[#This Row],[Prix de Revient Unitaire (€)]]*Novembre[[#This Row],[Temps Passé Cumul (h)]]</f>
        <v>140</v>
      </c>
      <c r="N3" s="23" t="s">
        <v>28</v>
      </c>
    </row>
    <row r="4" spans="1:14" x14ac:dyDescent="0.45">
      <c r="A4" s="77"/>
      <c r="B4" s="20" t="s">
        <v>34</v>
      </c>
      <c r="C4" s="21" t="s">
        <v>11</v>
      </c>
      <c r="D4" s="22">
        <v>2</v>
      </c>
      <c r="E4" s="22">
        <v>0</v>
      </c>
      <c r="F4" s="22">
        <f>Novembre[[#This Row],[Temps Passé Période (h)]]+Octobre[[#This Row],[Temps Passé Cumul (h)]]</f>
        <v>3</v>
      </c>
      <c r="G4" s="22">
        <f>MAX(Novembre[[#This Row],[Charge Initiale (h)]]-Novembre[[#This Row],[Temps Passé Cumul (h)]], 0)</f>
        <v>0</v>
      </c>
      <c r="H4" s="22">
        <f>Novembre[[#This Row],[Temps Passé Cumul (h)]]+Novembre[[#This Row],[Reste à Passer (h)]]</f>
        <v>3</v>
      </c>
      <c r="I4" s="22">
        <f>Novembre[[#This Row],[Charge Initiale (h)]]-Novembre[[#This Row],[Charge Révisée (h)]]</f>
        <v>-1</v>
      </c>
      <c r="J4" s="24" t="str">
        <f>IF(Novembre[[#This Row],[Qui]]="Chef de projet","35",IF(Novembre[[#This Row],[Qui]]="Ingénieur Electronique","32",IF(Novembre[[#This Row],[Qui]]="Ingénieur qualité","36",IF(Novembre[[#This Row],[Qui]]="Ingénieur Développement",30,IF(Novembre[[#This Row],[Qui]]="Ingénieur Mécanique",34,"")))))</f>
        <v>35</v>
      </c>
      <c r="K4" s="22">
        <f>Novembre[[#This Row],[Charge Initiale (h)]]*Novembre[[#This Row],[Prix de Revient Unitaire (€)]]</f>
        <v>70</v>
      </c>
      <c r="L4" s="22">
        <f>Novembre[[#This Row],[Charge Révisée (h)]]*Novembre[[#This Row],[Prix de Revient Unitaire (€)]]</f>
        <v>105</v>
      </c>
      <c r="M4" s="22">
        <f>Novembre[[#This Row],[Prix de Revient Unitaire (€)]]*Novembre[[#This Row],[Temps Passé Cumul (h)]]</f>
        <v>105</v>
      </c>
      <c r="N4" s="23" t="s">
        <v>28</v>
      </c>
    </row>
    <row r="5" spans="1:14" x14ac:dyDescent="0.45">
      <c r="A5" s="78"/>
      <c r="B5" s="20" t="s">
        <v>35</v>
      </c>
      <c r="C5" s="21" t="s">
        <v>11</v>
      </c>
      <c r="D5" s="22">
        <v>2</v>
      </c>
      <c r="E5" s="22">
        <v>0</v>
      </c>
      <c r="F5" s="22">
        <f>Novembre[[#This Row],[Temps Passé Période (h)]]+Octobre[[#This Row],[Temps Passé Cumul (h)]]</f>
        <v>2</v>
      </c>
      <c r="G5" s="22">
        <f>MAX(Novembre[[#This Row],[Charge Initiale (h)]]-Novembre[[#This Row],[Temps Passé Cumul (h)]], 0)</f>
        <v>0</v>
      </c>
      <c r="H5" s="22">
        <f>Novembre[[#This Row],[Temps Passé Cumul (h)]]+Novembre[[#This Row],[Reste à Passer (h)]]</f>
        <v>2</v>
      </c>
      <c r="I5" s="22">
        <f>Novembre[[#This Row],[Charge Initiale (h)]]-Novembre[[#This Row],[Charge Révisée (h)]]</f>
        <v>0</v>
      </c>
      <c r="J5" s="24" t="str">
        <f>IF(Novembre[[#This Row],[Qui]]="Chef de projet","35",IF(Novembre[[#This Row],[Qui]]="Ingénieur Electronique","32",IF(Novembre[[#This Row],[Qui]]="Ingénieur qualité","36",IF(Novembre[[#This Row],[Qui]]="Ingénieur Développement",30,IF(Novembre[[#This Row],[Qui]]="Ingénieur Mécanique",34,"")))))</f>
        <v>35</v>
      </c>
      <c r="K5" s="22">
        <f>Novembre[[#This Row],[Charge Initiale (h)]]*Novembre[[#This Row],[Prix de Revient Unitaire (€)]]</f>
        <v>70</v>
      </c>
      <c r="L5" s="22">
        <f>Novembre[[#This Row],[Charge Révisée (h)]]*Novembre[[#This Row],[Prix de Revient Unitaire (€)]]</f>
        <v>70</v>
      </c>
      <c r="M5" s="22">
        <f>Novembre[[#This Row],[Prix de Revient Unitaire (€)]]*Novembre[[#This Row],[Temps Passé Cumul (h)]]</f>
        <v>70</v>
      </c>
      <c r="N5" s="23" t="s">
        <v>28</v>
      </c>
    </row>
    <row r="6" spans="1:14" x14ac:dyDescent="0.45">
      <c r="A6" s="79" t="s">
        <v>12</v>
      </c>
      <c r="B6" s="5" t="s">
        <v>17</v>
      </c>
      <c r="C6" s="18" t="s">
        <v>11</v>
      </c>
      <c r="D6" s="4">
        <v>8</v>
      </c>
      <c r="E6" s="4">
        <v>0</v>
      </c>
      <c r="F6" s="4">
        <f>Novembre[[#This Row],[Temps Passé Période (h)]]+Octobre[[#This Row],[Temps Passé Cumul (h)]]</f>
        <v>8</v>
      </c>
      <c r="G6" s="4">
        <f>MAX(Novembre[[#This Row],[Charge Initiale (h)]]-Novembre[[#This Row],[Temps Passé Cumul (h)]], 0)</f>
        <v>0</v>
      </c>
      <c r="H6" s="4">
        <f>Novembre[[#This Row],[Temps Passé Cumul (h)]]+Novembre[[#This Row],[Reste à Passer (h)]]</f>
        <v>8</v>
      </c>
      <c r="I6" s="4">
        <f>Novembre[[#This Row],[Charge Initiale (h)]]-Novembre[[#This Row],[Charge Révisée (h)]]</f>
        <v>0</v>
      </c>
      <c r="J6" s="4" t="str">
        <f>IF(Novembre[[#This Row],[Qui]]="Chef de projet","35",IF(Novembre[[#This Row],[Qui]]="Ingénieur Electronique","32",IF(Novembre[[#This Row],[Qui]]="Ingénieur qualité","36",IF(Novembre[[#This Row],[Qui]]="Ingénieur Développement",30,IF(Novembre[[#This Row],[Qui]]="Ingénieur Mécanique",34,"")))))</f>
        <v>35</v>
      </c>
      <c r="K6" s="4">
        <f>Novembre[[#This Row],[Charge Initiale (h)]]*Novembre[[#This Row],[Prix de Revient Unitaire (€)]]</f>
        <v>280</v>
      </c>
      <c r="L6" s="4">
        <f>Novembre[[#This Row],[Charge Révisée (h)]]*Novembre[[#This Row],[Prix de Revient Unitaire (€)]]</f>
        <v>280</v>
      </c>
      <c r="M6" s="4">
        <f>Novembre[[#This Row],[Prix de Revient Unitaire (€)]]*Novembre[[#This Row],[Temps Passé Cumul (h)]]</f>
        <v>280</v>
      </c>
      <c r="N6" s="12" t="s">
        <v>28</v>
      </c>
    </row>
    <row r="7" spans="1:14" x14ac:dyDescent="0.45">
      <c r="A7" s="80"/>
      <c r="B7" s="5" t="s">
        <v>36</v>
      </c>
      <c r="C7" s="18" t="s">
        <v>11</v>
      </c>
      <c r="D7" s="4">
        <v>3</v>
      </c>
      <c r="E7" s="4">
        <v>0</v>
      </c>
      <c r="F7" s="4">
        <f>Novembre[[#This Row],[Temps Passé Période (h)]]+Octobre[[#This Row],[Temps Passé Cumul (h)]]</f>
        <v>3</v>
      </c>
      <c r="G7" s="4">
        <f>MAX(Novembre[[#This Row],[Charge Initiale (h)]]-Novembre[[#This Row],[Temps Passé Cumul (h)]], 0)</f>
        <v>0</v>
      </c>
      <c r="H7" s="4">
        <f>Novembre[[#This Row],[Temps Passé Cumul (h)]]+Novembre[[#This Row],[Reste à Passer (h)]]</f>
        <v>3</v>
      </c>
      <c r="I7" s="4">
        <f>Novembre[[#This Row],[Charge Initiale (h)]]-Novembre[[#This Row],[Charge Révisée (h)]]</f>
        <v>0</v>
      </c>
      <c r="J7" s="4" t="str">
        <f>IF(Novembre[[#This Row],[Qui]]="Chef de projet","35",IF(Novembre[[#This Row],[Qui]]="Ingénieur Electronique","32",IF(Novembre[[#This Row],[Qui]]="Ingénieur qualité","36",IF(Novembre[[#This Row],[Qui]]="Ingénieur Développement",30,IF(Novembre[[#This Row],[Qui]]="Ingénieur Mécanique",34,"")))))</f>
        <v>35</v>
      </c>
      <c r="K7" s="4">
        <f>Novembre[[#This Row],[Charge Initiale (h)]]*Novembre[[#This Row],[Prix de Revient Unitaire (€)]]</f>
        <v>105</v>
      </c>
      <c r="L7" s="4">
        <f>Novembre[[#This Row],[Charge Révisée (h)]]*Novembre[[#This Row],[Prix de Revient Unitaire (€)]]</f>
        <v>105</v>
      </c>
      <c r="M7" s="4">
        <f>Novembre[[#This Row],[Prix de Revient Unitaire (€)]]*Novembre[[#This Row],[Temps Passé Cumul (h)]]</f>
        <v>105</v>
      </c>
      <c r="N7" s="12" t="s">
        <v>28</v>
      </c>
    </row>
    <row r="8" spans="1:14" x14ac:dyDescent="0.45">
      <c r="A8" s="80"/>
      <c r="B8" s="5" t="s">
        <v>37</v>
      </c>
      <c r="C8" s="18" t="s">
        <v>11</v>
      </c>
      <c r="D8" s="4">
        <v>3</v>
      </c>
      <c r="E8" s="4">
        <v>0</v>
      </c>
      <c r="F8" s="4">
        <f>Novembre[[#This Row],[Temps Passé Période (h)]]+Octobre[[#This Row],[Temps Passé Cumul (h)]]</f>
        <v>3</v>
      </c>
      <c r="G8" s="4">
        <f>MAX(Novembre[[#This Row],[Charge Initiale (h)]]-Novembre[[#This Row],[Temps Passé Cumul (h)]], 0)</f>
        <v>0</v>
      </c>
      <c r="H8" s="4">
        <f>Novembre[[#This Row],[Temps Passé Cumul (h)]]+Novembre[[#This Row],[Reste à Passer (h)]]</f>
        <v>3</v>
      </c>
      <c r="I8" s="4">
        <f>Novembre[[#This Row],[Charge Initiale (h)]]-Novembre[[#This Row],[Charge Révisée (h)]]</f>
        <v>0</v>
      </c>
      <c r="J8" s="4" t="str">
        <f>IF(Novembre[[#This Row],[Qui]]="Chef de projet","35",IF(Novembre[[#This Row],[Qui]]="Ingénieur Electronique","32",IF(Novembre[[#This Row],[Qui]]="Ingénieur qualité","36",IF(Novembre[[#This Row],[Qui]]="Ingénieur Développement",30,IF(Novembre[[#This Row],[Qui]]="Ingénieur Mécanique",34,"")))))</f>
        <v>35</v>
      </c>
      <c r="K8" s="4">
        <f>Novembre[[#This Row],[Charge Initiale (h)]]*Novembre[[#This Row],[Prix de Revient Unitaire (€)]]</f>
        <v>105</v>
      </c>
      <c r="L8" s="4">
        <f>Novembre[[#This Row],[Charge Révisée (h)]]*Novembre[[#This Row],[Prix de Revient Unitaire (€)]]</f>
        <v>105</v>
      </c>
      <c r="M8" s="4">
        <f>Novembre[[#This Row],[Prix de Revient Unitaire (€)]]*Novembre[[#This Row],[Temps Passé Cumul (h)]]</f>
        <v>105</v>
      </c>
      <c r="N8" s="12" t="s">
        <v>28</v>
      </c>
    </row>
    <row r="9" spans="1:14" x14ac:dyDescent="0.45">
      <c r="A9" s="81"/>
      <c r="B9" s="5" t="s">
        <v>38</v>
      </c>
      <c r="C9" s="18" t="s">
        <v>11</v>
      </c>
      <c r="D9" s="4">
        <v>1.5</v>
      </c>
      <c r="E9" s="4">
        <v>0</v>
      </c>
      <c r="F9" s="4">
        <f>Novembre[[#This Row],[Temps Passé Période (h)]]+Octobre[[#This Row],[Temps Passé Cumul (h)]]</f>
        <v>0</v>
      </c>
      <c r="G9" s="4">
        <f>MAX(Novembre[[#This Row],[Charge Initiale (h)]]-Novembre[[#This Row],[Temps Passé Cumul (h)]], 0)</f>
        <v>1.5</v>
      </c>
      <c r="H9" s="4">
        <f>Novembre[[#This Row],[Temps Passé Cumul (h)]]+Novembre[[#This Row],[Reste à Passer (h)]]</f>
        <v>1.5</v>
      </c>
      <c r="I9" s="4">
        <f>Novembre[[#This Row],[Charge Initiale (h)]]-Novembre[[#This Row],[Charge Révisée (h)]]</f>
        <v>0</v>
      </c>
      <c r="J9" s="4" t="str">
        <f>IF(Novembre[[#This Row],[Qui]]="Chef de projet","35",IF(Novembre[[#This Row],[Qui]]="Ingénieur Electronique","32",IF(Novembre[[#This Row],[Qui]]="Ingénieur qualité","36",IF(Novembre[[#This Row],[Qui]]="Ingénieur Développement",30,IF(Novembre[[#This Row],[Qui]]="Ingénieur Mécanique",34,"")))))</f>
        <v>35</v>
      </c>
      <c r="K9" s="4">
        <f>Novembre[[#This Row],[Charge Initiale (h)]]*Novembre[[#This Row],[Prix de Revient Unitaire (€)]]</f>
        <v>52.5</v>
      </c>
      <c r="L9" s="4">
        <f>Novembre[[#This Row],[Charge Révisée (h)]]*Novembre[[#This Row],[Prix de Revient Unitaire (€)]]</f>
        <v>52.5</v>
      </c>
      <c r="M9" s="4">
        <f>Novembre[[#This Row],[Prix de Revient Unitaire (€)]]*Novembre[[#This Row],[Temps Passé Cumul (h)]]</f>
        <v>0</v>
      </c>
      <c r="N9" s="12" t="s">
        <v>29</v>
      </c>
    </row>
    <row r="10" spans="1:14" x14ac:dyDescent="0.45">
      <c r="A10" s="82" t="s">
        <v>20</v>
      </c>
      <c r="B10" s="25" t="s">
        <v>39</v>
      </c>
      <c r="C10" s="26" t="s">
        <v>11</v>
      </c>
      <c r="D10" s="27">
        <v>5.5</v>
      </c>
      <c r="E10" s="27">
        <v>0</v>
      </c>
      <c r="F10" s="27">
        <f>Novembre[[#This Row],[Temps Passé Période (h)]]+Octobre[[#This Row],[Temps Passé Cumul (h)]]</f>
        <v>0</v>
      </c>
      <c r="G10" s="27">
        <f>MAX(Novembre[[#This Row],[Charge Initiale (h)]]-Novembre[[#This Row],[Temps Passé Cumul (h)]], 0)</f>
        <v>5.5</v>
      </c>
      <c r="H10" s="27">
        <f>Novembre[[#This Row],[Temps Passé Cumul (h)]]+Novembre[[#This Row],[Reste à Passer (h)]]</f>
        <v>5.5</v>
      </c>
      <c r="I10" s="27">
        <f>Novembre[[#This Row],[Charge Initiale (h)]]-Novembre[[#This Row],[Charge Révisée (h)]]</f>
        <v>0</v>
      </c>
      <c r="J10" s="27" t="str">
        <f>IF(Novembre[[#This Row],[Qui]]="Chef de projet","35",IF(Novembre[[#This Row],[Qui]]="Ingénieur Electronique","32",IF(Novembre[[#This Row],[Qui]]="Ingénieur qualité","36",IF(Novembre[[#This Row],[Qui]]="Ingénieur Développement",30,IF(Novembre[[#This Row],[Qui]]="Ingénieur Mécanique",34,"")))))</f>
        <v>35</v>
      </c>
      <c r="K10" s="27">
        <f>Novembre[[#This Row],[Charge Initiale (h)]]*Novembre[[#This Row],[Prix de Revient Unitaire (€)]]</f>
        <v>192.5</v>
      </c>
      <c r="L10" s="27">
        <f>Novembre[[#This Row],[Charge Révisée (h)]]*Novembre[[#This Row],[Prix de Revient Unitaire (€)]]</f>
        <v>192.5</v>
      </c>
      <c r="M10" s="27">
        <f>Novembre[[#This Row],[Prix de Revient Unitaire (€)]]*Novembre[[#This Row],[Temps Passé Cumul (h)]]</f>
        <v>0</v>
      </c>
      <c r="N10" s="28" t="s">
        <v>29</v>
      </c>
    </row>
    <row r="11" spans="1:14" x14ac:dyDescent="0.45">
      <c r="A11" s="83"/>
      <c r="B11" s="25" t="s">
        <v>40</v>
      </c>
      <c r="C11" s="26" t="s">
        <v>11</v>
      </c>
      <c r="D11" s="27">
        <v>3</v>
      </c>
      <c r="E11" s="27">
        <v>0</v>
      </c>
      <c r="F11" s="27">
        <f>Novembre[[#This Row],[Temps Passé Période (h)]]+Octobre[[#This Row],[Temps Passé Cumul (h)]]</f>
        <v>0</v>
      </c>
      <c r="G11" s="27">
        <f>MAX(Novembre[[#This Row],[Charge Initiale (h)]]-Novembre[[#This Row],[Temps Passé Cumul (h)]], 0)</f>
        <v>3</v>
      </c>
      <c r="H11" s="27">
        <f>Novembre[[#This Row],[Temps Passé Cumul (h)]]+Novembre[[#This Row],[Reste à Passer (h)]]</f>
        <v>3</v>
      </c>
      <c r="I11" s="27">
        <f>Novembre[[#This Row],[Charge Initiale (h)]]-Novembre[[#This Row],[Charge Révisée (h)]]</f>
        <v>0</v>
      </c>
      <c r="J11" s="27" t="str">
        <f>IF(Novembre[[#This Row],[Qui]]="Chef de projet","35",IF(Novembre[[#This Row],[Qui]]="Ingénieur Electronique","32",IF(Novembre[[#This Row],[Qui]]="Ingénieur qualité","36",IF(Novembre[[#This Row],[Qui]]="Ingénieur Développement",30,IF(Novembre[[#This Row],[Qui]]="Ingénieur Mécanique",34,"")))))</f>
        <v>35</v>
      </c>
      <c r="K11" s="27">
        <f>Novembre[[#This Row],[Charge Initiale (h)]]*Novembre[[#This Row],[Prix de Revient Unitaire (€)]]</f>
        <v>105</v>
      </c>
      <c r="L11" s="27">
        <f>Novembre[[#This Row],[Charge Révisée (h)]]*Novembre[[#This Row],[Prix de Revient Unitaire (€)]]</f>
        <v>105</v>
      </c>
      <c r="M11" s="27">
        <f>Novembre[[#This Row],[Prix de Revient Unitaire (€)]]*Novembre[[#This Row],[Temps Passé Cumul (h)]]</f>
        <v>0</v>
      </c>
      <c r="N11" s="28" t="s">
        <v>29</v>
      </c>
    </row>
    <row r="12" spans="1:14" x14ac:dyDescent="0.45">
      <c r="A12" s="84"/>
      <c r="B12" s="25" t="s">
        <v>41</v>
      </c>
      <c r="C12" s="26" t="s">
        <v>11</v>
      </c>
      <c r="D12" s="27">
        <v>2</v>
      </c>
      <c r="E12" s="27">
        <v>0</v>
      </c>
      <c r="F12" s="27">
        <f>Novembre[[#This Row],[Temps Passé Période (h)]]+Octobre[[#This Row],[Temps Passé Cumul (h)]]</f>
        <v>0</v>
      </c>
      <c r="G12" s="27">
        <f>MAX(Novembre[[#This Row],[Charge Initiale (h)]]-Novembre[[#This Row],[Temps Passé Cumul (h)]], 0)</f>
        <v>2</v>
      </c>
      <c r="H12" s="27">
        <f>Novembre[[#This Row],[Temps Passé Cumul (h)]]+Novembre[[#This Row],[Reste à Passer (h)]]</f>
        <v>2</v>
      </c>
      <c r="I12" s="27">
        <f>Novembre[[#This Row],[Charge Initiale (h)]]-Novembre[[#This Row],[Charge Révisée (h)]]</f>
        <v>0</v>
      </c>
      <c r="J12" s="27" t="str">
        <f>IF(Novembre[[#This Row],[Qui]]="Chef de projet","35",IF(Novembre[[#This Row],[Qui]]="Ingénieur Electronique","32",IF(Novembre[[#This Row],[Qui]]="Ingénieur qualité","36",IF(Novembre[[#This Row],[Qui]]="Ingénieur Développement",30,IF(Novembre[[#This Row],[Qui]]="Ingénieur Mécanique",34,"")))))</f>
        <v>35</v>
      </c>
      <c r="K12" s="27">
        <f>Novembre[[#This Row],[Charge Initiale (h)]]*Novembre[[#This Row],[Prix de Revient Unitaire (€)]]</f>
        <v>70</v>
      </c>
      <c r="L12" s="27">
        <f>Novembre[[#This Row],[Charge Révisée (h)]]*Novembre[[#This Row],[Prix de Revient Unitaire (€)]]</f>
        <v>70</v>
      </c>
      <c r="M12" s="27">
        <f>Novembre[[#This Row],[Prix de Revient Unitaire (€)]]*Novembre[[#This Row],[Temps Passé Cumul (h)]]</f>
        <v>0</v>
      </c>
      <c r="N12" s="28" t="s">
        <v>29</v>
      </c>
    </row>
    <row r="13" spans="1:14" x14ac:dyDescent="0.45">
      <c r="A13" s="85" t="s">
        <v>21</v>
      </c>
      <c r="B13" s="7" t="s">
        <v>42</v>
      </c>
      <c r="C13" s="19" t="s">
        <v>11</v>
      </c>
      <c r="D13" s="6">
        <v>7</v>
      </c>
      <c r="E13" s="6">
        <v>0</v>
      </c>
      <c r="F13" s="6">
        <f>Novembre[[#This Row],[Temps Passé Période (h)]]+Octobre[[#This Row],[Temps Passé Cumul (h)]]</f>
        <v>0</v>
      </c>
      <c r="G13" s="6">
        <f>MAX(Novembre[[#This Row],[Charge Initiale (h)]]-Novembre[[#This Row],[Temps Passé Cumul (h)]], 0)</f>
        <v>7</v>
      </c>
      <c r="H13" s="6">
        <f>Novembre[[#This Row],[Temps Passé Cumul (h)]]+Novembre[[#This Row],[Reste à Passer (h)]]</f>
        <v>7</v>
      </c>
      <c r="I13" s="6">
        <f>Novembre[[#This Row],[Charge Initiale (h)]]-Novembre[[#This Row],[Charge Révisée (h)]]</f>
        <v>0</v>
      </c>
      <c r="J13" s="6" t="str">
        <f>IF(Novembre[[#This Row],[Qui]]="Chef de projet","35",IF(Novembre[[#This Row],[Qui]]="Ingénieur Electronique","32",IF(Novembre[[#This Row],[Qui]]="Ingénieur qualité","36",IF(Novembre[[#This Row],[Qui]]="Ingénieur Développement",30,IF(Novembre[[#This Row],[Qui]]="Ingénieur Mécanique",34,"")))))</f>
        <v>35</v>
      </c>
      <c r="K13" s="6">
        <f>Novembre[[#This Row],[Charge Initiale (h)]]*Novembre[[#This Row],[Prix de Revient Unitaire (€)]]</f>
        <v>245</v>
      </c>
      <c r="L13" s="6">
        <f>Novembre[[#This Row],[Charge Révisée (h)]]*Novembre[[#This Row],[Prix de Revient Unitaire (€)]]</f>
        <v>245</v>
      </c>
      <c r="M13" s="6">
        <f>Novembre[[#This Row],[Prix de Revient Unitaire (€)]]*Novembre[[#This Row],[Temps Passé Cumul (h)]]</f>
        <v>0</v>
      </c>
      <c r="N13" s="13" t="s">
        <v>29</v>
      </c>
    </row>
    <row r="14" spans="1:14" x14ac:dyDescent="0.45">
      <c r="A14" s="86"/>
      <c r="B14" s="7" t="s">
        <v>49</v>
      </c>
      <c r="C14" s="19" t="s">
        <v>11</v>
      </c>
      <c r="D14" s="6">
        <v>4</v>
      </c>
      <c r="E14" s="6">
        <v>0</v>
      </c>
      <c r="F14" s="6">
        <f>Novembre[[#This Row],[Temps Passé Période (h)]]+Octobre[[#This Row],[Temps Passé Cumul (h)]]</f>
        <v>0</v>
      </c>
      <c r="G14" s="6">
        <f>MAX(Novembre[[#This Row],[Charge Initiale (h)]]-Novembre[[#This Row],[Temps Passé Cumul (h)]], 0)</f>
        <v>4</v>
      </c>
      <c r="H14" s="6">
        <f>Novembre[[#This Row],[Temps Passé Cumul (h)]]+Novembre[[#This Row],[Reste à Passer (h)]]</f>
        <v>4</v>
      </c>
      <c r="I14" s="6">
        <f>Novembre[[#This Row],[Charge Initiale (h)]]-Novembre[[#This Row],[Charge Révisée (h)]]</f>
        <v>0</v>
      </c>
      <c r="J14" s="6" t="str">
        <f>IF(Novembre[[#This Row],[Qui]]="Chef de projet","35",IF(Novembre[[#This Row],[Qui]]="Ingénieur Electronique","32",IF(Novembre[[#This Row],[Qui]]="Ingénieur qualité","36",IF(Novembre[[#This Row],[Qui]]="Ingénieur Développement",30,IF(Novembre[[#This Row],[Qui]]="Ingénieur Mécanique",34,"")))))</f>
        <v>35</v>
      </c>
      <c r="K14" s="6">
        <f>Novembre[[#This Row],[Charge Initiale (h)]]*Novembre[[#This Row],[Prix de Revient Unitaire (€)]]</f>
        <v>140</v>
      </c>
      <c r="L14" s="6">
        <f>Novembre[[#This Row],[Charge Révisée (h)]]*Novembre[[#This Row],[Prix de Revient Unitaire (€)]]</f>
        <v>140</v>
      </c>
      <c r="M14" s="6">
        <f>Novembre[[#This Row],[Prix de Revient Unitaire (€)]]*Novembre[[#This Row],[Temps Passé Cumul (h)]]</f>
        <v>0</v>
      </c>
      <c r="N14" s="13" t="s">
        <v>29</v>
      </c>
    </row>
    <row r="15" spans="1:14" x14ac:dyDescent="0.45">
      <c r="A15" s="29" t="s">
        <v>22</v>
      </c>
      <c r="B15" s="30" t="s">
        <v>43</v>
      </c>
      <c r="C15" s="31" t="s">
        <v>11</v>
      </c>
      <c r="D15" s="32">
        <v>20</v>
      </c>
      <c r="E15" s="32">
        <v>0</v>
      </c>
      <c r="F15" s="32">
        <f>Novembre[[#This Row],[Temps Passé Période (h)]]+Octobre[[#This Row],[Temps Passé Cumul (h)]]</f>
        <v>0</v>
      </c>
      <c r="G15" s="32">
        <f>MAX(Novembre[[#This Row],[Charge Initiale (h)]]-Novembre[[#This Row],[Temps Passé Cumul (h)]], 0)</f>
        <v>20</v>
      </c>
      <c r="H15" s="32">
        <f>Novembre[[#This Row],[Temps Passé Cumul (h)]]+Novembre[[#This Row],[Reste à Passer (h)]]</f>
        <v>20</v>
      </c>
      <c r="I15" s="32">
        <f>Novembre[[#This Row],[Charge Initiale (h)]]-Novembre[[#This Row],[Charge Révisée (h)]]</f>
        <v>0</v>
      </c>
      <c r="J15" s="32" t="str">
        <f>IF(Novembre[[#This Row],[Qui]]="Chef de projet","35",IF(Novembre[[#This Row],[Qui]]="Ingénieur Electronique","32",IF(Novembre[[#This Row],[Qui]]="Ingénieur qualité","36",IF(Novembre[[#This Row],[Qui]]="Ingénieur Développement",30,IF(Novembre[[#This Row],[Qui]]="Ingénieur Mécanique",34,"")))))</f>
        <v>35</v>
      </c>
      <c r="K15" s="32">
        <f>Novembre[[#This Row],[Charge Initiale (h)]]*Novembre[[#This Row],[Prix de Revient Unitaire (€)]]</f>
        <v>700</v>
      </c>
      <c r="L15" s="32">
        <f>Novembre[[#This Row],[Charge Révisée (h)]]*Novembre[[#This Row],[Prix de Revient Unitaire (€)]]</f>
        <v>700</v>
      </c>
      <c r="M15" s="32">
        <f>Novembre[[#This Row],[Prix de Revient Unitaire (€)]]*Novembre[[#This Row],[Temps Passé Cumul (h)]]</f>
        <v>0</v>
      </c>
      <c r="N15" s="33" t="s">
        <v>29</v>
      </c>
    </row>
    <row r="16" spans="1:14" x14ac:dyDescent="0.45">
      <c r="A16" s="34" t="s">
        <v>23</v>
      </c>
      <c r="B16" s="35" t="s">
        <v>44</v>
      </c>
      <c r="C16" s="36" t="s">
        <v>11</v>
      </c>
      <c r="D16" s="37">
        <v>6</v>
      </c>
      <c r="E16" s="37">
        <v>0</v>
      </c>
      <c r="F16" s="37">
        <f>Novembre[[#This Row],[Temps Passé Période (h)]]+Octobre[[#This Row],[Temps Passé Cumul (h)]]</f>
        <v>0</v>
      </c>
      <c r="G16" s="37">
        <f>MAX(Novembre[[#This Row],[Charge Initiale (h)]]-Novembre[[#This Row],[Temps Passé Cumul (h)]], 0)</f>
        <v>6</v>
      </c>
      <c r="H16" s="37">
        <f>Novembre[[#This Row],[Temps Passé Cumul (h)]]+Novembre[[#This Row],[Reste à Passer (h)]]</f>
        <v>6</v>
      </c>
      <c r="I16" s="37">
        <f>Novembre[[#This Row],[Charge Initiale (h)]]-Novembre[[#This Row],[Charge Révisée (h)]]</f>
        <v>0</v>
      </c>
      <c r="J16" s="37" t="str">
        <f>IF(Novembre[[#This Row],[Qui]]="Chef de projet","35",IF(Novembre[[#This Row],[Qui]]="Ingénieur Electronique","32",IF(Novembre[[#This Row],[Qui]]="Ingénieur qualité","36",IF(Novembre[[#This Row],[Qui]]="Ingénieur Développement",30,IF(Novembre[[#This Row],[Qui]]="Ingénieur Mécanique",34,"")))))</f>
        <v>35</v>
      </c>
      <c r="K16" s="37">
        <f>Novembre[[#This Row],[Charge Initiale (h)]]*Novembre[[#This Row],[Prix de Revient Unitaire (€)]]</f>
        <v>210</v>
      </c>
      <c r="L16" s="37">
        <f>Novembre[[#This Row],[Charge Révisée (h)]]*Novembre[[#This Row],[Prix de Revient Unitaire (€)]]</f>
        <v>210</v>
      </c>
      <c r="M16" s="37">
        <f>Novembre[[#This Row],[Prix de Revient Unitaire (€)]]*Novembre[[#This Row],[Temps Passé Cumul (h)]]</f>
        <v>0</v>
      </c>
      <c r="N16" s="38" t="s">
        <v>29</v>
      </c>
    </row>
    <row r="17" spans="1:14" x14ac:dyDescent="0.45">
      <c r="A17" s="39" t="s">
        <v>24</v>
      </c>
      <c r="B17" s="40" t="s">
        <v>45</v>
      </c>
      <c r="C17" s="41" t="s">
        <v>11</v>
      </c>
      <c r="D17" s="42">
        <v>4</v>
      </c>
      <c r="E17" s="42">
        <v>0</v>
      </c>
      <c r="F17" s="42">
        <f>Novembre[[#This Row],[Temps Passé Période (h)]]+Octobre[[#This Row],[Temps Passé Cumul (h)]]</f>
        <v>0</v>
      </c>
      <c r="G17" s="42">
        <f>MAX(Novembre[[#This Row],[Charge Initiale (h)]]-Novembre[[#This Row],[Temps Passé Cumul (h)]], 0)</f>
        <v>4</v>
      </c>
      <c r="H17" s="42">
        <f>Novembre[[#This Row],[Temps Passé Cumul (h)]]+Novembre[[#This Row],[Reste à Passer (h)]]</f>
        <v>4</v>
      </c>
      <c r="I17" s="42">
        <f>Novembre[[#This Row],[Charge Initiale (h)]]-Novembre[[#This Row],[Charge Révisée (h)]]</f>
        <v>0</v>
      </c>
      <c r="J17" s="42" t="str">
        <f>IF(Novembre[[#This Row],[Qui]]="Chef de projet","35",IF(Novembre[[#This Row],[Qui]]="Ingénieur Electronique","32",IF(Novembre[[#This Row],[Qui]]="Ingénieur qualité","36",IF(Novembre[[#This Row],[Qui]]="Ingénieur Développement",30,IF(Novembre[[#This Row],[Qui]]="Ingénieur Mécanique",34,"")))))</f>
        <v>35</v>
      </c>
      <c r="K17" s="42">
        <f>Novembre[[#This Row],[Charge Initiale (h)]]*Novembre[[#This Row],[Prix de Revient Unitaire (€)]]</f>
        <v>140</v>
      </c>
      <c r="L17" s="42">
        <f>Novembre[[#This Row],[Charge Révisée (h)]]*Novembre[[#This Row],[Prix de Revient Unitaire (€)]]</f>
        <v>140</v>
      </c>
      <c r="M17" s="42">
        <f>Novembre[[#This Row],[Prix de Revient Unitaire (€)]]*Novembre[[#This Row],[Temps Passé Cumul (h)]]</f>
        <v>0</v>
      </c>
      <c r="N17" s="43" t="s">
        <v>29</v>
      </c>
    </row>
    <row r="18" spans="1:14" x14ac:dyDescent="0.45">
      <c r="A18" s="72" t="s">
        <v>30</v>
      </c>
      <c r="B18" s="44" t="s">
        <v>46</v>
      </c>
      <c r="C18" s="44" t="s">
        <v>11</v>
      </c>
      <c r="D18" s="45">
        <v>3</v>
      </c>
      <c r="E18" s="45">
        <v>0</v>
      </c>
      <c r="F18" s="45">
        <f>Novembre[[#This Row],[Temps Passé Période (h)]]+Octobre[[#This Row],[Temps Passé Cumul (h)]]</f>
        <v>0</v>
      </c>
      <c r="G18" s="45">
        <f>MAX(Novembre[[#This Row],[Charge Initiale (h)]]-Novembre[[#This Row],[Temps Passé Cumul (h)]], 0)</f>
        <v>3</v>
      </c>
      <c r="H18" s="45">
        <f>Novembre[[#This Row],[Temps Passé Cumul (h)]]+Novembre[[#This Row],[Reste à Passer (h)]]</f>
        <v>3</v>
      </c>
      <c r="I18" s="45">
        <f>Novembre[[#This Row],[Charge Initiale (h)]]-Novembre[[#This Row],[Charge Révisée (h)]]</f>
        <v>0</v>
      </c>
      <c r="J18" s="45" t="str">
        <f>IF(Novembre[[#This Row],[Qui]]="Chef de projet","35",IF(Novembre[[#This Row],[Qui]]="Ingénieur Electronique","32",IF(Novembre[[#This Row],[Qui]]="Ingénieur qualité","36",IF(Novembre[[#This Row],[Qui]]="Ingénieur Développement",30,IF(Novembre[[#This Row],[Qui]]="Ingénieur Mécanique",34,"")))))</f>
        <v>35</v>
      </c>
      <c r="K18" s="45">
        <f>Novembre[[#This Row],[Charge Initiale (h)]]*Novembre[[#This Row],[Prix de Revient Unitaire (€)]]</f>
        <v>105</v>
      </c>
      <c r="L18" s="45">
        <f>Novembre[[#This Row],[Charge Révisée (h)]]*Novembre[[#This Row],[Prix de Revient Unitaire (€)]]</f>
        <v>105</v>
      </c>
      <c r="M18" s="45">
        <f>Novembre[[#This Row],[Prix de Revient Unitaire (€)]]*Novembre[[#This Row],[Temps Passé Cumul (h)]]</f>
        <v>0</v>
      </c>
      <c r="N18" s="46" t="s">
        <v>29</v>
      </c>
    </row>
    <row r="19" spans="1:14" x14ac:dyDescent="0.45">
      <c r="A19" s="73"/>
      <c r="B19" s="44" t="s">
        <v>47</v>
      </c>
      <c r="C19" s="44" t="s">
        <v>11</v>
      </c>
      <c r="D19" s="45">
        <v>8</v>
      </c>
      <c r="E19" s="45">
        <v>0</v>
      </c>
      <c r="F19" s="45">
        <f>Novembre[[#This Row],[Temps Passé Période (h)]]+Octobre[[#This Row],[Temps Passé Cumul (h)]]</f>
        <v>0</v>
      </c>
      <c r="G19" s="45">
        <f>MAX(Novembre[[#This Row],[Charge Initiale (h)]]-Novembre[[#This Row],[Temps Passé Cumul (h)]], 0)</f>
        <v>8</v>
      </c>
      <c r="H19" s="45">
        <f>Novembre[[#This Row],[Temps Passé Cumul (h)]]+Novembre[[#This Row],[Reste à Passer (h)]]</f>
        <v>8</v>
      </c>
      <c r="I19" s="45">
        <f>Novembre[[#This Row],[Charge Initiale (h)]]-Novembre[[#This Row],[Charge Révisée (h)]]</f>
        <v>0</v>
      </c>
      <c r="J19" s="45" t="str">
        <f>IF(Novembre[[#This Row],[Qui]]="Chef de projet","35",IF(Novembre[[#This Row],[Qui]]="Ingénieur Electronique","32",IF(Novembre[[#This Row],[Qui]]="Ingénieur qualité","36",IF(Novembre[[#This Row],[Qui]]="Ingénieur Développement",30,IF(Novembre[[#This Row],[Qui]]="Ingénieur Mécanique",34,"")))))</f>
        <v>35</v>
      </c>
      <c r="K19" s="45">
        <f>Novembre[[#This Row],[Charge Initiale (h)]]*Novembre[[#This Row],[Prix de Revient Unitaire (€)]]</f>
        <v>280</v>
      </c>
      <c r="L19" s="45">
        <f>Novembre[[#This Row],[Charge Révisée (h)]]*Novembre[[#This Row],[Prix de Revient Unitaire (€)]]</f>
        <v>280</v>
      </c>
      <c r="M19" s="45">
        <f>Novembre[[#This Row],[Prix de Revient Unitaire (€)]]*Novembre[[#This Row],[Temps Passé Cumul (h)]]</f>
        <v>0</v>
      </c>
      <c r="N19" s="46" t="s">
        <v>29</v>
      </c>
    </row>
    <row r="20" spans="1:14" x14ac:dyDescent="0.45">
      <c r="A20" s="47" t="s">
        <v>31</v>
      </c>
      <c r="B20" s="48" t="s">
        <v>48</v>
      </c>
      <c r="C20" s="48" t="s">
        <v>11</v>
      </c>
      <c r="D20" s="49">
        <v>2</v>
      </c>
      <c r="E20" s="49">
        <v>0</v>
      </c>
      <c r="F20" s="49">
        <f>Novembre[[#This Row],[Temps Passé Période (h)]]+Octobre[[#This Row],[Temps Passé Cumul (h)]]</f>
        <v>0</v>
      </c>
      <c r="G20" s="49">
        <f>MAX(Novembre[[#This Row],[Charge Initiale (h)]]-Novembre[[#This Row],[Temps Passé Cumul (h)]], 0)</f>
        <v>2</v>
      </c>
      <c r="H20" s="49">
        <f>Novembre[[#This Row],[Temps Passé Cumul (h)]]+Novembre[[#This Row],[Reste à Passer (h)]]</f>
        <v>2</v>
      </c>
      <c r="I20" s="49">
        <f>Novembre[[#This Row],[Charge Initiale (h)]]-Novembre[[#This Row],[Charge Révisée (h)]]</f>
        <v>0</v>
      </c>
      <c r="J20" s="49" t="str">
        <f>IF(Novembre[[#This Row],[Qui]]="Chef de projet","35",IF(Novembre[[#This Row],[Qui]]="Ingénieur Electronique","32",IF(Novembre[[#This Row],[Qui]]="Ingénieur qualité","36",IF(Novembre[[#This Row],[Qui]]="Ingénieur Développement",30,IF(Novembre[[#This Row],[Qui]]="Ingénieur Mécanique",34,"")))))</f>
        <v>35</v>
      </c>
      <c r="K20" s="49">
        <f>Novembre[[#This Row],[Charge Initiale (h)]]*Novembre[[#This Row],[Prix de Revient Unitaire (€)]]</f>
        <v>70</v>
      </c>
      <c r="L20" s="49">
        <f>Novembre[[#This Row],[Charge Révisée (h)]]*Novembre[[#This Row],[Prix de Revient Unitaire (€)]]</f>
        <v>70</v>
      </c>
      <c r="M20" s="49">
        <f>Novembre[[#This Row],[Prix de Revient Unitaire (€)]]*Novembre[[#This Row],[Temps Passé Cumul (h)]]</f>
        <v>0</v>
      </c>
      <c r="N20" s="50" t="s">
        <v>29</v>
      </c>
    </row>
    <row r="21" spans="1:14" ht="14.65" thickBot="1" x14ac:dyDescent="0.5">
      <c r="A21" s="14"/>
      <c r="B21" s="15" t="s">
        <v>13</v>
      </c>
      <c r="C21" s="15"/>
      <c r="D21" s="15">
        <f>SUBTOTAL(109,Novembre[Charge Initiale (h)])</f>
        <v>94</v>
      </c>
      <c r="E21" s="15">
        <f>SUBTOTAL(109,Novembre[Temps Passé Période (h)])</f>
        <v>0</v>
      </c>
      <c r="F21" s="15">
        <f>SUBTOTAL(109,Novembre[Temps Passé Cumul (h)])</f>
        <v>30</v>
      </c>
      <c r="G21" s="15">
        <f>SUBTOTAL(109,Novembre[Reste à Passer (h)])</f>
        <v>67</v>
      </c>
      <c r="H21" s="15">
        <f>SUBTOTAL(109,Novembre[Charge Révisée (h)])</f>
        <v>97</v>
      </c>
      <c r="I21" s="15">
        <f>SUBTOTAL(109,Novembre[Écart de Charge (h)])</f>
        <v>-3</v>
      </c>
      <c r="J21" s="15">
        <f>SUBTOTAL(109,Novembre[Prix de Revient Unitaire (€)])</f>
        <v>0</v>
      </c>
      <c r="K21" s="15">
        <f>SUBTOTAL(109,Novembre[Coût Initial (€)])</f>
        <v>3290</v>
      </c>
      <c r="L21" s="16">
        <f>SUBTOTAL(109,Novembre[Coût Révisé (€)])</f>
        <v>3395</v>
      </c>
      <c r="M21" s="15">
        <f>SUBTOTAL(109,Novembre[Coût Réel (€)])</f>
        <v>1050</v>
      </c>
      <c r="N21" s="17"/>
    </row>
    <row r="22" spans="1:14" x14ac:dyDescent="0.4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4" x14ac:dyDescent="0.45">
      <c r="B23" s="3" t="s">
        <v>15</v>
      </c>
      <c r="C23" s="3" t="s">
        <v>26</v>
      </c>
      <c r="M23" s="2" t="s">
        <v>27</v>
      </c>
    </row>
    <row r="24" spans="1:14" x14ac:dyDescent="0.45">
      <c r="B24" s="2" t="s">
        <v>16</v>
      </c>
      <c r="C24" s="2">
        <v>115</v>
      </c>
      <c r="M24" s="2" t="s">
        <v>28</v>
      </c>
    </row>
    <row r="25" spans="1:14" x14ac:dyDescent="0.45">
      <c r="B25" s="2" t="s">
        <v>13</v>
      </c>
      <c r="C25" s="2">
        <f>SUM(C24:C24)</f>
        <v>115</v>
      </c>
      <c r="M25" s="2" t="s">
        <v>29</v>
      </c>
    </row>
  </sheetData>
  <autoFilter ref="N1:N20" xr:uid="{F4031B63-70DF-4D51-93DE-CEF92E83A2B4}"/>
  <mergeCells count="5">
    <mergeCell ref="A2:A5"/>
    <mergeCell ref="A6:A9"/>
    <mergeCell ref="A10:A12"/>
    <mergeCell ref="A18:A19"/>
    <mergeCell ref="A13:A14"/>
  </mergeCells>
  <dataValidations count="2">
    <dataValidation type="list" allowBlank="1" showInputMessage="1" showErrorMessage="1" sqref="C2:C20" xr:uid="{85D63007-F628-426F-8751-2AE10528A7C2}">
      <formula1>$B$24:$B$24</formula1>
    </dataValidation>
    <dataValidation type="list" allowBlank="1" showInputMessage="1" showErrorMessage="1" sqref="N2:N20" xr:uid="{5ACC52ED-52CF-4D11-B5B6-5BB62F83684C}">
      <formula1>$M$24:$M$25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1" orientation="landscape" r:id="rId1"/>
  <headerFooter>
    <oddHeader>&amp;A</oddHead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B9D51-8698-444C-82E6-BFB76B796633}">
  <sheetPr>
    <pageSetUpPr fitToPage="1"/>
  </sheetPr>
  <dimension ref="A1:N25"/>
  <sheetViews>
    <sheetView zoomScale="65" zoomScaleNormal="65" workbookViewId="0">
      <selection activeCell="N1" sqref="N1"/>
    </sheetView>
  </sheetViews>
  <sheetFormatPr baseColWidth="10" defaultColWidth="8.53125" defaultRowHeight="14.25" x14ac:dyDescent="0.45"/>
  <cols>
    <col min="1" max="1" width="17.796875" bestFit="1" customWidth="1"/>
    <col min="2" max="2" width="39.06640625" bestFit="1" customWidth="1"/>
    <col min="3" max="3" width="14.86328125" bestFit="1" customWidth="1"/>
    <col min="4" max="4" width="18.73046875" bestFit="1" customWidth="1"/>
    <col min="5" max="5" width="24.19921875" bestFit="1" customWidth="1"/>
    <col min="6" max="6" width="22.9296875" bestFit="1" customWidth="1"/>
    <col min="7" max="7" width="18.73046875" bestFit="1" customWidth="1"/>
    <col min="8" max="8" width="19.46484375" bestFit="1" customWidth="1"/>
    <col min="9" max="9" width="19.53125" bestFit="1" customWidth="1"/>
    <col min="10" max="10" width="26.59765625" bestFit="1" customWidth="1"/>
    <col min="11" max="11" width="15.86328125" bestFit="1" customWidth="1"/>
    <col min="12" max="12" width="16.59765625" bestFit="1" customWidth="1"/>
    <col min="13" max="13" width="14.86328125" bestFit="1" customWidth="1"/>
    <col min="14" max="14" width="9.19921875" bestFit="1" customWidth="1"/>
  </cols>
  <sheetData>
    <row r="1" spans="1:14" x14ac:dyDescent="0.45">
      <c r="A1" s="8" t="s">
        <v>18</v>
      </c>
      <c r="B1" s="9" t="s">
        <v>6</v>
      </c>
      <c r="C1" s="9" t="s">
        <v>7</v>
      </c>
      <c r="D1" s="9" t="s">
        <v>51</v>
      </c>
      <c r="E1" s="9" t="s">
        <v>52</v>
      </c>
      <c r="F1" s="9" t="s">
        <v>53</v>
      </c>
      <c r="G1" s="9" t="s">
        <v>54</v>
      </c>
      <c r="H1" s="9" t="s">
        <v>55</v>
      </c>
      <c r="I1" s="9" t="s">
        <v>56</v>
      </c>
      <c r="J1" s="9" t="s">
        <v>57</v>
      </c>
      <c r="K1" s="10" t="s">
        <v>8</v>
      </c>
      <c r="L1" s="10" t="s">
        <v>9</v>
      </c>
      <c r="M1" s="10" t="s">
        <v>50</v>
      </c>
      <c r="N1" s="11" t="s">
        <v>25</v>
      </c>
    </row>
    <row r="2" spans="1:14" x14ac:dyDescent="0.45">
      <c r="A2" s="76" t="s">
        <v>19</v>
      </c>
      <c r="B2" s="20" t="s">
        <v>32</v>
      </c>
      <c r="C2" s="21" t="s">
        <v>11</v>
      </c>
      <c r="D2" s="22">
        <v>5</v>
      </c>
      <c r="E2" s="22">
        <v>0</v>
      </c>
      <c r="F2" s="22">
        <f>Décembre[[#This Row],[Temps Passé Période (h)]]+Novembre[[#This Row],[Temps Passé Cumul (h)]]</f>
        <v>7</v>
      </c>
      <c r="G2" s="22">
        <f>MAX(Décembre[[#This Row],[Charge Initiale (h)]]-Décembre[[#This Row],[Temps Passé Cumul (h)]], 0)</f>
        <v>0</v>
      </c>
      <c r="H2" s="22">
        <f>Décembre[[#This Row],[Temps Passé Cumul (h)]]+Décembre[[#This Row],[Reste à Passer (h)]]</f>
        <v>7</v>
      </c>
      <c r="I2" s="22">
        <f>Décembre[[#This Row],[Charge Initiale (h)]]-Décembre[[#This Row],[Charge Révisée (h)]]</f>
        <v>-2</v>
      </c>
      <c r="J2" s="22" t="str">
        <f>IF(Décembre[[#This Row],[Qui]]="Chef de projet","35",IF(Décembre[[#This Row],[Qui]]="Ingénieur Electronique","32",IF(Décembre[[#This Row],[Qui]]="Ingénieur qualité","36",IF(Décembre[[#This Row],[Qui]]="Ingénieur Développement",30,IF(Décembre[[#This Row],[Qui]]="Ingénieur Mécanique",34,"")))))</f>
        <v>35</v>
      </c>
      <c r="K2" s="22">
        <f>Décembre[[#This Row],[Charge Initiale (h)]]*Décembre[[#This Row],[Prix de Revient Unitaire (€)]]</f>
        <v>175</v>
      </c>
      <c r="L2" s="22">
        <f>Décembre[[#This Row],[Charge Révisée (h)]]*Décembre[[#This Row],[Prix de Revient Unitaire (€)]]</f>
        <v>245</v>
      </c>
      <c r="M2" s="22">
        <f>Décembre[[#This Row],[Prix de Revient Unitaire (€)]]*Décembre[[#This Row],[Temps Passé Cumul (h)]]</f>
        <v>245</v>
      </c>
      <c r="N2" s="23" t="s">
        <v>28</v>
      </c>
    </row>
    <row r="3" spans="1:14" x14ac:dyDescent="0.45">
      <c r="A3" s="77"/>
      <c r="B3" s="20" t="s">
        <v>33</v>
      </c>
      <c r="C3" s="21" t="s">
        <v>11</v>
      </c>
      <c r="D3" s="22">
        <v>5</v>
      </c>
      <c r="E3" s="22">
        <v>0</v>
      </c>
      <c r="F3" s="22">
        <f>Décembre[[#This Row],[Temps Passé Période (h)]]+Novembre[[#This Row],[Temps Passé Cumul (h)]]</f>
        <v>4</v>
      </c>
      <c r="G3" s="22">
        <f>MAX(Décembre[[#This Row],[Charge Initiale (h)]]-Décembre[[#This Row],[Temps Passé Cumul (h)]], 0)</f>
        <v>1</v>
      </c>
      <c r="H3" s="22">
        <f>Décembre[[#This Row],[Temps Passé Cumul (h)]]+Décembre[[#This Row],[Reste à Passer (h)]]</f>
        <v>5</v>
      </c>
      <c r="I3" s="22">
        <f>Décembre[[#This Row],[Charge Initiale (h)]]-Décembre[[#This Row],[Charge Révisée (h)]]</f>
        <v>0</v>
      </c>
      <c r="J3" s="22" t="str">
        <f>IF(Décembre[[#This Row],[Qui]]="Chef de projet","35",IF(Décembre[[#This Row],[Qui]]="Ingénieur Electronique","32",IF(Décembre[[#This Row],[Qui]]="Ingénieur qualité","36",IF(Décembre[[#This Row],[Qui]]="Ingénieur Développement",30,IF(Décembre[[#This Row],[Qui]]="Ingénieur Mécanique",34,"")))))</f>
        <v>35</v>
      </c>
      <c r="K3" s="22">
        <f>Décembre[[#This Row],[Charge Initiale (h)]]*Décembre[[#This Row],[Prix de Revient Unitaire (€)]]</f>
        <v>175</v>
      </c>
      <c r="L3" s="22">
        <f>Décembre[[#This Row],[Charge Révisée (h)]]*Décembre[[#This Row],[Prix de Revient Unitaire (€)]]</f>
        <v>175</v>
      </c>
      <c r="M3" s="22">
        <f>Décembre[[#This Row],[Prix de Revient Unitaire (€)]]*Décembre[[#This Row],[Temps Passé Cumul (h)]]</f>
        <v>140</v>
      </c>
      <c r="N3" s="23" t="s">
        <v>29</v>
      </c>
    </row>
    <row r="4" spans="1:14" x14ac:dyDescent="0.45">
      <c r="A4" s="77"/>
      <c r="B4" s="20" t="s">
        <v>34</v>
      </c>
      <c r="C4" s="21" t="s">
        <v>11</v>
      </c>
      <c r="D4" s="22">
        <v>2</v>
      </c>
      <c r="E4" s="22">
        <v>0</v>
      </c>
      <c r="F4" s="22">
        <f>Décembre[[#This Row],[Temps Passé Période (h)]]+Novembre[[#This Row],[Temps Passé Cumul (h)]]</f>
        <v>3</v>
      </c>
      <c r="G4" s="22">
        <f>MAX(Décembre[[#This Row],[Charge Initiale (h)]]-Décembre[[#This Row],[Temps Passé Cumul (h)]], 0)</f>
        <v>0</v>
      </c>
      <c r="H4" s="22">
        <f>Décembre[[#This Row],[Temps Passé Cumul (h)]]+Décembre[[#This Row],[Reste à Passer (h)]]</f>
        <v>3</v>
      </c>
      <c r="I4" s="22">
        <f>Décembre[[#This Row],[Charge Initiale (h)]]-Décembre[[#This Row],[Charge Révisée (h)]]</f>
        <v>-1</v>
      </c>
      <c r="J4" s="24" t="str">
        <f>IF(Décembre[[#This Row],[Qui]]="Chef de projet","35",IF(Décembre[[#This Row],[Qui]]="Ingénieur Electronique","32",IF(Décembre[[#This Row],[Qui]]="Ingénieur qualité","36",IF(Décembre[[#This Row],[Qui]]="Ingénieur Développement",30,IF(Décembre[[#This Row],[Qui]]="Ingénieur Mécanique",34,"")))))</f>
        <v>35</v>
      </c>
      <c r="K4" s="22">
        <f>Décembre[[#This Row],[Charge Initiale (h)]]*Décembre[[#This Row],[Prix de Revient Unitaire (€)]]</f>
        <v>70</v>
      </c>
      <c r="L4" s="22">
        <f>Décembre[[#This Row],[Charge Révisée (h)]]*Décembre[[#This Row],[Prix de Revient Unitaire (€)]]</f>
        <v>105</v>
      </c>
      <c r="M4" s="22">
        <f>Décembre[[#This Row],[Prix de Revient Unitaire (€)]]*Décembre[[#This Row],[Temps Passé Cumul (h)]]</f>
        <v>105</v>
      </c>
      <c r="N4" s="23" t="s">
        <v>28</v>
      </c>
    </row>
    <row r="5" spans="1:14" x14ac:dyDescent="0.45">
      <c r="A5" s="78"/>
      <c r="B5" s="20" t="s">
        <v>35</v>
      </c>
      <c r="C5" s="21" t="s">
        <v>11</v>
      </c>
      <c r="D5" s="22">
        <v>2</v>
      </c>
      <c r="E5" s="22">
        <v>0</v>
      </c>
      <c r="F5" s="22">
        <f>Décembre[[#This Row],[Temps Passé Période (h)]]+Novembre[[#This Row],[Temps Passé Cumul (h)]]</f>
        <v>2</v>
      </c>
      <c r="G5" s="22">
        <f>MAX(Décembre[[#This Row],[Charge Initiale (h)]]-Décembre[[#This Row],[Temps Passé Cumul (h)]], 0)</f>
        <v>0</v>
      </c>
      <c r="H5" s="22">
        <f>Décembre[[#This Row],[Temps Passé Cumul (h)]]+Décembre[[#This Row],[Reste à Passer (h)]]</f>
        <v>2</v>
      </c>
      <c r="I5" s="22">
        <f>Décembre[[#This Row],[Charge Initiale (h)]]-Décembre[[#This Row],[Charge Révisée (h)]]</f>
        <v>0</v>
      </c>
      <c r="J5" s="24" t="str">
        <f>IF(Décembre[[#This Row],[Qui]]="Chef de projet","35",IF(Décembre[[#This Row],[Qui]]="Ingénieur Electronique","32",IF(Décembre[[#This Row],[Qui]]="Ingénieur qualité","36",IF(Décembre[[#This Row],[Qui]]="Ingénieur Développement",30,IF(Décembre[[#This Row],[Qui]]="Ingénieur Mécanique",34,"")))))</f>
        <v>35</v>
      </c>
      <c r="K5" s="22">
        <f>Décembre[[#This Row],[Charge Initiale (h)]]*Décembre[[#This Row],[Prix de Revient Unitaire (€)]]</f>
        <v>70</v>
      </c>
      <c r="L5" s="22">
        <f>Décembre[[#This Row],[Charge Révisée (h)]]*Décembre[[#This Row],[Prix de Revient Unitaire (€)]]</f>
        <v>70</v>
      </c>
      <c r="M5" s="22">
        <f>Décembre[[#This Row],[Prix de Revient Unitaire (€)]]*Décembre[[#This Row],[Temps Passé Cumul (h)]]</f>
        <v>70</v>
      </c>
      <c r="N5" s="23" t="s">
        <v>29</v>
      </c>
    </row>
    <row r="6" spans="1:14" x14ac:dyDescent="0.45">
      <c r="A6" s="79" t="s">
        <v>12</v>
      </c>
      <c r="B6" s="5" t="s">
        <v>17</v>
      </c>
      <c r="C6" s="18" t="s">
        <v>11</v>
      </c>
      <c r="D6" s="4">
        <v>8</v>
      </c>
      <c r="E6" s="4">
        <v>0</v>
      </c>
      <c r="F6" s="4">
        <f>Décembre[[#This Row],[Temps Passé Période (h)]]+Novembre[[#This Row],[Temps Passé Cumul (h)]]</f>
        <v>8</v>
      </c>
      <c r="G6" s="4">
        <f>MAX(Décembre[[#This Row],[Charge Initiale (h)]]-Décembre[[#This Row],[Temps Passé Cumul (h)]], 0)</f>
        <v>0</v>
      </c>
      <c r="H6" s="4">
        <f>Décembre[[#This Row],[Temps Passé Cumul (h)]]+Décembre[[#This Row],[Reste à Passer (h)]]</f>
        <v>8</v>
      </c>
      <c r="I6" s="4">
        <f>Décembre[[#This Row],[Charge Initiale (h)]]-Décembre[[#This Row],[Charge Révisée (h)]]</f>
        <v>0</v>
      </c>
      <c r="J6" s="4" t="str">
        <f>IF(Décembre[[#This Row],[Qui]]="Chef de projet","35",IF(Décembre[[#This Row],[Qui]]="Ingénieur Electronique","32",IF(Décembre[[#This Row],[Qui]]="Ingénieur qualité","36",IF(Décembre[[#This Row],[Qui]]="Ingénieur Développement",30,IF(Décembre[[#This Row],[Qui]]="Ingénieur Mécanique",34,"")))))</f>
        <v>35</v>
      </c>
      <c r="K6" s="4">
        <f>Décembre[[#This Row],[Charge Initiale (h)]]*Décembre[[#This Row],[Prix de Revient Unitaire (€)]]</f>
        <v>280</v>
      </c>
      <c r="L6" s="4">
        <f>Décembre[[#This Row],[Charge Révisée (h)]]*Décembre[[#This Row],[Prix de Revient Unitaire (€)]]</f>
        <v>280</v>
      </c>
      <c r="M6" s="4">
        <f>Décembre[[#This Row],[Prix de Revient Unitaire (€)]]*Décembre[[#This Row],[Temps Passé Cumul (h)]]</f>
        <v>280</v>
      </c>
      <c r="N6" s="12" t="s">
        <v>29</v>
      </c>
    </row>
    <row r="7" spans="1:14" x14ac:dyDescent="0.45">
      <c r="A7" s="80"/>
      <c r="B7" s="5" t="s">
        <v>36</v>
      </c>
      <c r="C7" s="18" t="s">
        <v>11</v>
      </c>
      <c r="D7" s="4">
        <v>3</v>
      </c>
      <c r="E7" s="4">
        <v>0</v>
      </c>
      <c r="F7" s="4">
        <f>Décembre[[#This Row],[Temps Passé Période (h)]]+Novembre[[#This Row],[Temps Passé Cumul (h)]]</f>
        <v>3</v>
      </c>
      <c r="G7" s="4">
        <f>MAX(Décembre[[#This Row],[Charge Initiale (h)]]-Décembre[[#This Row],[Temps Passé Cumul (h)]], 0)</f>
        <v>0</v>
      </c>
      <c r="H7" s="4">
        <f>Décembre[[#This Row],[Temps Passé Cumul (h)]]+Décembre[[#This Row],[Reste à Passer (h)]]</f>
        <v>3</v>
      </c>
      <c r="I7" s="4">
        <f>Décembre[[#This Row],[Charge Initiale (h)]]-Décembre[[#This Row],[Charge Révisée (h)]]</f>
        <v>0</v>
      </c>
      <c r="J7" s="4" t="str">
        <f>IF(Décembre[[#This Row],[Qui]]="Chef de projet","35",IF(Décembre[[#This Row],[Qui]]="Ingénieur Electronique","32",IF(Décembre[[#This Row],[Qui]]="Ingénieur qualité","36",IF(Décembre[[#This Row],[Qui]]="Ingénieur Développement",30,IF(Décembre[[#This Row],[Qui]]="Ingénieur Mécanique",34,"")))))</f>
        <v>35</v>
      </c>
      <c r="K7" s="4">
        <f>Décembre[[#This Row],[Charge Initiale (h)]]*Décembre[[#This Row],[Prix de Revient Unitaire (€)]]</f>
        <v>105</v>
      </c>
      <c r="L7" s="4">
        <f>Décembre[[#This Row],[Charge Révisée (h)]]*Décembre[[#This Row],[Prix de Revient Unitaire (€)]]</f>
        <v>105</v>
      </c>
      <c r="M7" s="4">
        <f>Décembre[[#This Row],[Prix de Revient Unitaire (€)]]*Décembre[[#This Row],[Temps Passé Cumul (h)]]</f>
        <v>105</v>
      </c>
      <c r="N7" s="12" t="s">
        <v>29</v>
      </c>
    </row>
    <row r="8" spans="1:14" x14ac:dyDescent="0.45">
      <c r="A8" s="80"/>
      <c r="B8" s="5" t="s">
        <v>37</v>
      </c>
      <c r="C8" s="18" t="s">
        <v>11</v>
      </c>
      <c r="D8" s="4">
        <v>3</v>
      </c>
      <c r="E8" s="4">
        <v>0</v>
      </c>
      <c r="F8" s="4">
        <f>Décembre[[#This Row],[Temps Passé Période (h)]]+Novembre[[#This Row],[Temps Passé Cumul (h)]]</f>
        <v>3</v>
      </c>
      <c r="G8" s="4">
        <f>MAX(Décembre[[#This Row],[Charge Initiale (h)]]-Décembre[[#This Row],[Temps Passé Cumul (h)]], 0)</f>
        <v>0</v>
      </c>
      <c r="H8" s="4">
        <f>Décembre[[#This Row],[Temps Passé Cumul (h)]]+Décembre[[#This Row],[Reste à Passer (h)]]</f>
        <v>3</v>
      </c>
      <c r="I8" s="4">
        <f>Décembre[[#This Row],[Charge Initiale (h)]]-Décembre[[#This Row],[Charge Révisée (h)]]</f>
        <v>0</v>
      </c>
      <c r="J8" s="4" t="str">
        <f>IF(Décembre[[#This Row],[Qui]]="Chef de projet","35",IF(Décembre[[#This Row],[Qui]]="Ingénieur Electronique","32",IF(Décembre[[#This Row],[Qui]]="Ingénieur qualité","36",IF(Décembre[[#This Row],[Qui]]="Ingénieur Développement",30,IF(Décembre[[#This Row],[Qui]]="Ingénieur Mécanique",34,"")))))</f>
        <v>35</v>
      </c>
      <c r="K8" s="4">
        <f>Décembre[[#This Row],[Charge Initiale (h)]]*Décembre[[#This Row],[Prix de Revient Unitaire (€)]]</f>
        <v>105</v>
      </c>
      <c r="L8" s="4">
        <f>Décembre[[#This Row],[Charge Révisée (h)]]*Décembre[[#This Row],[Prix de Revient Unitaire (€)]]</f>
        <v>105</v>
      </c>
      <c r="M8" s="4">
        <f>Décembre[[#This Row],[Prix de Revient Unitaire (€)]]*Décembre[[#This Row],[Temps Passé Cumul (h)]]</f>
        <v>105</v>
      </c>
      <c r="N8" s="12" t="s">
        <v>29</v>
      </c>
    </row>
    <row r="9" spans="1:14" x14ac:dyDescent="0.45">
      <c r="A9" s="81"/>
      <c r="B9" s="5" t="s">
        <v>38</v>
      </c>
      <c r="C9" s="18" t="s">
        <v>11</v>
      </c>
      <c r="D9" s="4">
        <v>1.5</v>
      </c>
      <c r="E9" s="4">
        <v>0</v>
      </c>
      <c r="F9" s="4">
        <f>Décembre[[#This Row],[Temps Passé Période (h)]]+Novembre[[#This Row],[Temps Passé Cumul (h)]]</f>
        <v>0</v>
      </c>
      <c r="G9" s="4">
        <f>MAX(Décembre[[#This Row],[Charge Initiale (h)]]-Décembre[[#This Row],[Temps Passé Cumul (h)]], 0)</f>
        <v>1.5</v>
      </c>
      <c r="H9" s="4">
        <f>Décembre[[#This Row],[Temps Passé Cumul (h)]]+Décembre[[#This Row],[Reste à Passer (h)]]</f>
        <v>1.5</v>
      </c>
      <c r="I9" s="4">
        <f>Décembre[[#This Row],[Charge Initiale (h)]]-Décembre[[#This Row],[Charge Révisée (h)]]</f>
        <v>0</v>
      </c>
      <c r="J9" s="4" t="str">
        <f>IF(Décembre[[#This Row],[Qui]]="Chef de projet","35",IF(Décembre[[#This Row],[Qui]]="Ingénieur Electronique","32",IF(Décembre[[#This Row],[Qui]]="Ingénieur qualité","36",IF(Décembre[[#This Row],[Qui]]="Ingénieur Développement",30,IF(Décembre[[#This Row],[Qui]]="Ingénieur Mécanique",34,"")))))</f>
        <v>35</v>
      </c>
      <c r="K9" s="4">
        <f>Décembre[[#This Row],[Charge Initiale (h)]]*Décembre[[#This Row],[Prix de Revient Unitaire (€)]]</f>
        <v>52.5</v>
      </c>
      <c r="L9" s="4">
        <f>Décembre[[#This Row],[Charge Révisée (h)]]*Décembre[[#This Row],[Prix de Revient Unitaire (€)]]</f>
        <v>52.5</v>
      </c>
      <c r="M9" s="4">
        <f>Décembre[[#This Row],[Prix de Revient Unitaire (€)]]*Décembre[[#This Row],[Temps Passé Cumul (h)]]</f>
        <v>0</v>
      </c>
      <c r="N9" s="12" t="s">
        <v>29</v>
      </c>
    </row>
    <row r="10" spans="1:14" x14ac:dyDescent="0.45">
      <c r="A10" s="82" t="s">
        <v>20</v>
      </c>
      <c r="B10" s="25" t="s">
        <v>39</v>
      </c>
      <c r="C10" s="26" t="s">
        <v>11</v>
      </c>
      <c r="D10" s="27">
        <v>5.5</v>
      </c>
      <c r="E10" s="27">
        <v>0</v>
      </c>
      <c r="F10" s="27">
        <f>Décembre[[#This Row],[Temps Passé Période (h)]]+Novembre[[#This Row],[Temps Passé Cumul (h)]]</f>
        <v>0</v>
      </c>
      <c r="G10" s="27">
        <f>MAX(Décembre[[#This Row],[Charge Initiale (h)]]-Décembre[[#This Row],[Temps Passé Cumul (h)]], 0)</f>
        <v>5.5</v>
      </c>
      <c r="H10" s="27">
        <f>Décembre[[#This Row],[Temps Passé Cumul (h)]]+Décembre[[#This Row],[Reste à Passer (h)]]</f>
        <v>5.5</v>
      </c>
      <c r="I10" s="27">
        <f>Décembre[[#This Row],[Charge Initiale (h)]]-Décembre[[#This Row],[Charge Révisée (h)]]</f>
        <v>0</v>
      </c>
      <c r="J10" s="27" t="str">
        <f>IF(Décembre[[#This Row],[Qui]]="Chef de projet","35",IF(Décembre[[#This Row],[Qui]]="Ingénieur Electronique","32",IF(Décembre[[#This Row],[Qui]]="Ingénieur qualité","36",IF(Décembre[[#This Row],[Qui]]="Ingénieur Développement",30,IF(Décembre[[#This Row],[Qui]]="Ingénieur Mécanique",34,"")))))</f>
        <v>35</v>
      </c>
      <c r="K10" s="27">
        <f>Décembre[[#This Row],[Charge Initiale (h)]]*Décembre[[#This Row],[Prix de Revient Unitaire (€)]]</f>
        <v>192.5</v>
      </c>
      <c r="L10" s="27">
        <f>Décembre[[#This Row],[Charge Révisée (h)]]*Décembre[[#This Row],[Prix de Revient Unitaire (€)]]</f>
        <v>192.5</v>
      </c>
      <c r="M10" s="27">
        <f>Décembre[[#This Row],[Prix de Revient Unitaire (€)]]*Décembre[[#This Row],[Temps Passé Cumul (h)]]</f>
        <v>0</v>
      </c>
      <c r="N10" s="28" t="s">
        <v>29</v>
      </c>
    </row>
    <row r="11" spans="1:14" x14ac:dyDescent="0.45">
      <c r="A11" s="83"/>
      <c r="B11" s="25" t="s">
        <v>40</v>
      </c>
      <c r="C11" s="26" t="s">
        <v>11</v>
      </c>
      <c r="D11" s="27">
        <v>3</v>
      </c>
      <c r="E11" s="27">
        <v>0</v>
      </c>
      <c r="F11" s="27">
        <f>Décembre[[#This Row],[Temps Passé Période (h)]]+Novembre[[#This Row],[Temps Passé Cumul (h)]]</f>
        <v>0</v>
      </c>
      <c r="G11" s="27">
        <f>MAX(Décembre[[#This Row],[Charge Initiale (h)]]-Décembre[[#This Row],[Temps Passé Cumul (h)]], 0)</f>
        <v>3</v>
      </c>
      <c r="H11" s="27">
        <f>Décembre[[#This Row],[Temps Passé Cumul (h)]]+Décembre[[#This Row],[Reste à Passer (h)]]</f>
        <v>3</v>
      </c>
      <c r="I11" s="27">
        <f>Décembre[[#This Row],[Charge Initiale (h)]]-Décembre[[#This Row],[Charge Révisée (h)]]</f>
        <v>0</v>
      </c>
      <c r="J11" s="27" t="str">
        <f>IF(Décembre[[#This Row],[Qui]]="Chef de projet","35",IF(Décembre[[#This Row],[Qui]]="Ingénieur Electronique","32",IF(Décembre[[#This Row],[Qui]]="Ingénieur qualité","36",IF(Décembre[[#This Row],[Qui]]="Ingénieur Développement",30,IF(Décembre[[#This Row],[Qui]]="Ingénieur Mécanique",34,"")))))</f>
        <v>35</v>
      </c>
      <c r="K11" s="27">
        <f>Décembre[[#This Row],[Charge Initiale (h)]]*Décembre[[#This Row],[Prix de Revient Unitaire (€)]]</f>
        <v>105</v>
      </c>
      <c r="L11" s="27">
        <f>Décembre[[#This Row],[Charge Révisée (h)]]*Décembre[[#This Row],[Prix de Revient Unitaire (€)]]</f>
        <v>105</v>
      </c>
      <c r="M11" s="27">
        <f>Décembre[[#This Row],[Prix de Revient Unitaire (€)]]*Décembre[[#This Row],[Temps Passé Cumul (h)]]</f>
        <v>0</v>
      </c>
      <c r="N11" s="28" t="s">
        <v>29</v>
      </c>
    </row>
    <row r="12" spans="1:14" x14ac:dyDescent="0.45">
      <c r="A12" s="84"/>
      <c r="B12" s="25" t="s">
        <v>41</v>
      </c>
      <c r="C12" s="26" t="s">
        <v>11</v>
      </c>
      <c r="D12" s="27">
        <v>2</v>
      </c>
      <c r="E12" s="27">
        <v>0</v>
      </c>
      <c r="F12" s="27">
        <f>Décembre[[#This Row],[Temps Passé Période (h)]]+Novembre[[#This Row],[Temps Passé Cumul (h)]]</f>
        <v>0</v>
      </c>
      <c r="G12" s="27">
        <f>MAX(Décembre[[#This Row],[Charge Initiale (h)]]-Décembre[[#This Row],[Temps Passé Cumul (h)]], 0)</f>
        <v>2</v>
      </c>
      <c r="H12" s="27">
        <f>Décembre[[#This Row],[Temps Passé Cumul (h)]]+Décembre[[#This Row],[Reste à Passer (h)]]</f>
        <v>2</v>
      </c>
      <c r="I12" s="27">
        <f>Décembre[[#This Row],[Charge Initiale (h)]]-Décembre[[#This Row],[Charge Révisée (h)]]</f>
        <v>0</v>
      </c>
      <c r="J12" s="27" t="str">
        <f>IF(Décembre[[#This Row],[Qui]]="Chef de projet","35",IF(Décembre[[#This Row],[Qui]]="Ingénieur Electronique","32",IF(Décembre[[#This Row],[Qui]]="Ingénieur qualité","36",IF(Décembre[[#This Row],[Qui]]="Ingénieur Développement",30,IF(Décembre[[#This Row],[Qui]]="Ingénieur Mécanique",34,"")))))</f>
        <v>35</v>
      </c>
      <c r="K12" s="27">
        <f>Décembre[[#This Row],[Charge Initiale (h)]]*Décembre[[#This Row],[Prix de Revient Unitaire (€)]]</f>
        <v>70</v>
      </c>
      <c r="L12" s="27">
        <f>Décembre[[#This Row],[Charge Révisée (h)]]*Décembre[[#This Row],[Prix de Revient Unitaire (€)]]</f>
        <v>70</v>
      </c>
      <c r="M12" s="27">
        <f>Décembre[[#This Row],[Prix de Revient Unitaire (€)]]*Décembre[[#This Row],[Temps Passé Cumul (h)]]</f>
        <v>0</v>
      </c>
      <c r="N12" s="28" t="s">
        <v>29</v>
      </c>
    </row>
    <row r="13" spans="1:14" x14ac:dyDescent="0.45">
      <c r="A13" s="85" t="s">
        <v>21</v>
      </c>
      <c r="B13" s="7" t="s">
        <v>42</v>
      </c>
      <c r="C13" s="19" t="s">
        <v>11</v>
      </c>
      <c r="D13" s="6">
        <v>7</v>
      </c>
      <c r="E13" s="6">
        <v>0</v>
      </c>
      <c r="F13" s="6">
        <f>Décembre[[#This Row],[Temps Passé Période (h)]]+Novembre[[#This Row],[Temps Passé Cumul (h)]]</f>
        <v>0</v>
      </c>
      <c r="G13" s="6">
        <f>MAX(Décembre[[#This Row],[Charge Initiale (h)]]-Décembre[[#This Row],[Temps Passé Cumul (h)]], 0)</f>
        <v>7</v>
      </c>
      <c r="H13" s="6">
        <f>Décembre[[#This Row],[Temps Passé Cumul (h)]]+Décembre[[#This Row],[Reste à Passer (h)]]</f>
        <v>7</v>
      </c>
      <c r="I13" s="6">
        <f>Décembre[[#This Row],[Charge Initiale (h)]]-Décembre[[#This Row],[Charge Révisée (h)]]</f>
        <v>0</v>
      </c>
      <c r="J13" s="6" t="str">
        <f>IF(Décembre[[#This Row],[Qui]]="Chef de projet","35",IF(Décembre[[#This Row],[Qui]]="Ingénieur Electronique","32",IF(Décembre[[#This Row],[Qui]]="Ingénieur qualité","36",IF(Décembre[[#This Row],[Qui]]="Ingénieur Développement",30,IF(Décembre[[#This Row],[Qui]]="Ingénieur Mécanique",34,"")))))</f>
        <v>35</v>
      </c>
      <c r="K13" s="6">
        <f>Décembre[[#This Row],[Charge Initiale (h)]]*Décembre[[#This Row],[Prix de Revient Unitaire (€)]]</f>
        <v>245</v>
      </c>
      <c r="L13" s="6">
        <f>Décembre[[#This Row],[Charge Révisée (h)]]*Décembre[[#This Row],[Prix de Revient Unitaire (€)]]</f>
        <v>245</v>
      </c>
      <c r="M13" s="6">
        <f>Décembre[[#This Row],[Prix de Revient Unitaire (€)]]*Décembre[[#This Row],[Temps Passé Cumul (h)]]</f>
        <v>0</v>
      </c>
      <c r="N13" s="13" t="s">
        <v>29</v>
      </c>
    </row>
    <row r="14" spans="1:14" x14ac:dyDescent="0.45">
      <c r="A14" s="86"/>
      <c r="B14" s="7" t="s">
        <v>49</v>
      </c>
      <c r="C14" s="19" t="s">
        <v>11</v>
      </c>
      <c r="D14" s="6">
        <v>4</v>
      </c>
      <c r="E14" s="6">
        <v>0</v>
      </c>
      <c r="F14" s="6">
        <f>Décembre[[#This Row],[Temps Passé Période (h)]]+Novembre[[#This Row],[Temps Passé Cumul (h)]]</f>
        <v>0</v>
      </c>
      <c r="G14" s="6">
        <f>MAX(Décembre[[#This Row],[Charge Initiale (h)]]-Décembre[[#This Row],[Temps Passé Cumul (h)]], 0)</f>
        <v>4</v>
      </c>
      <c r="H14" s="6">
        <f>Décembre[[#This Row],[Temps Passé Cumul (h)]]+Décembre[[#This Row],[Reste à Passer (h)]]</f>
        <v>4</v>
      </c>
      <c r="I14" s="6">
        <f>Décembre[[#This Row],[Charge Initiale (h)]]-Décembre[[#This Row],[Charge Révisée (h)]]</f>
        <v>0</v>
      </c>
      <c r="J14" s="6" t="str">
        <f>IF(Décembre[[#This Row],[Qui]]="Chef de projet","35",IF(Décembre[[#This Row],[Qui]]="Ingénieur Electronique","32",IF(Décembre[[#This Row],[Qui]]="Ingénieur qualité","36",IF(Décembre[[#This Row],[Qui]]="Ingénieur Développement",30,IF(Décembre[[#This Row],[Qui]]="Ingénieur Mécanique",34,"")))))</f>
        <v>35</v>
      </c>
      <c r="K14" s="6">
        <f>Décembre[[#This Row],[Charge Initiale (h)]]*Décembre[[#This Row],[Prix de Revient Unitaire (€)]]</f>
        <v>140</v>
      </c>
      <c r="L14" s="6">
        <f>Décembre[[#This Row],[Charge Révisée (h)]]*Décembre[[#This Row],[Prix de Revient Unitaire (€)]]</f>
        <v>140</v>
      </c>
      <c r="M14" s="6">
        <f>Décembre[[#This Row],[Prix de Revient Unitaire (€)]]*Décembre[[#This Row],[Temps Passé Cumul (h)]]</f>
        <v>0</v>
      </c>
      <c r="N14" s="13" t="s">
        <v>29</v>
      </c>
    </row>
    <row r="15" spans="1:14" x14ac:dyDescent="0.45">
      <c r="A15" s="29" t="s">
        <v>22</v>
      </c>
      <c r="B15" s="30" t="s">
        <v>43</v>
      </c>
      <c r="C15" s="31" t="s">
        <v>11</v>
      </c>
      <c r="D15" s="32">
        <v>20</v>
      </c>
      <c r="E15" s="32">
        <v>0</v>
      </c>
      <c r="F15" s="32">
        <f>Décembre[[#This Row],[Temps Passé Période (h)]]+Novembre[[#This Row],[Temps Passé Cumul (h)]]</f>
        <v>0</v>
      </c>
      <c r="G15" s="32">
        <f>MAX(Décembre[[#This Row],[Charge Initiale (h)]]-Décembre[[#This Row],[Temps Passé Cumul (h)]], 0)</f>
        <v>20</v>
      </c>
      <c r="H15" s="32">
        <f>Décembre[[#This Row],[Temps Passé Cumul (h)]]+Décembre[[#This Row],[Reste à Passer (h)]]</f>
        <v>20</v>
      </c>
      <c r="I15" s="32">
        <f>Décembre[[#This Row],[Charge Initiale (h)]]-Décembre[[#This Row],[Charge Révisée (h)]]</f>
        <v>0</v>
      </c>
      <c r="J15" s="32" t="str">
        <f>IF(Décembre[[#This Row],[Qui]]="Chef de projet","35",IF(Décembre[[#This Row],[Qui]]="Ingénieur Electronique","32",IF(Décembre[[#This Row],[Qui]]="Ingénieur qualité","36",IF(Décembre[[#This Row],[Qui]]="Ingénieur Développement",30,IF(Décembre[[#This Row],[Qui]]="Ingénieur Mécanique",34,"")))))</f>
        <v>35</v>
      </c>
      <c r="K15" s="32">
        <f>Décembre[[#This Row],[Charge Initiale (h)]]*Décembre[[#This Row],[Prix de Revient Unitaire (€)]]</f>
        <v>700</v>
      </c>
      <c r="L15" s="32">
        <f>Décembre[[#This Row],[Charge Révisée (h)]]*Décembre[[#This Row],[Prix de Revient Unitaire (€)]]</f>
        <v>700</v>
      </c>
      <c r="M15" s="32">
        <f>Décembre[[#This Row],[Prix de Revient Unitaire (€)]]*Décembre[[#This Row],[Temps Passé Cumul (h)]]</f>
        <v>0</v>
      </c>
      <c r="N15" s="33" t="s">
        <v>29</v>
      </c>
    </row>
    <row r="16" spans="1:14" x14ac:dyDescent="0.45">
      <c r="A16" s="34" t="s">
        <v>23</v>
      </c>
      <c r="B16" s="35" t="s">
        <v>44</v>
      </c>
      <c r="C16" s="36" t="s">
        <v>11</v>
      </c>
      <c r="D16" s="37">
        <v>6</v>
      </c>
      <c r="E16" s="37">
        <v>0</v>
      </c>
      <c r="F16" s="37">
        <f>Décembre[[#This Row],[Temps Passé Période (h)]]+Novembre[[#This Row],[Temps Passé Cumul (h)]]</f>
        <v>0</v>
      </c>
      <c r="G16" s="37">
        <f>MAX(Décembre[[#This Row],[Charge Initiale (h)]]-Décembre[[#This Row],[Temps Passé Cumul (h)]], 0)</f>
        <v>6</v>
      </c>
      <c r="H16" s="37">
        <f>Décembre[[#This Row],[Temps Passé Cumul (h)]]+Décembre[[#This Row],[Reste à Passer (h)]]</f>
        <v>6</v>
      </c>
      <c r="I16" s="37">
        <f>Décembre[[#This Row],[Charge Initiale (h)]]-Décembre[[#This Row],[Charge Révisée (h)]]</f>
        <v>0</v>
      </c>
      <c r="J16" s="37" t="str">
        <f>IF(Décembre[[#This Row],[Qui]]="Chef de projet","35",IF(Décembre[[#This Row],[Qui]]="Ingénieur Electronique","32",IF(Décembre[[#This Row],[Qui]]="Ingénieur qualité","36",IF(Décembre[[#This Row],[Qui]]="Ingénieur Développement",30,IF(Décembre[[#This Row],[Qui]]="Ingénieur Mécanique",34,"")))))</f>
        <v>35</v>
      </c>
      <c r="K16" s="37">
        <f>Décembre[[#This Row],[Charge Initiale (h)]]*Décembre[[#This Row],[Prix de Revient Unitaire (€)]]</f>
        <v>210</v>
      </c>
      <c r="L16" s="37">
        <f>Décembre[[#This Row],[Charge Révisée (h)]]*Décembre[[#This Row],[Prix de Revient Unitaire (€)]]</f>
        <v>210</v>
      </c>
      <c r="M16" s="37">
        <f>Décembre[[#This Row],[Prix de Revient Unitaire (€)]]*Décembre[[#This Row],[Temps Passé Cumul (h)]]</f>
        <v>0</v>
      </c>
      <c r="N16" s="38" t="s">
        <v>29</v>
      </c>
    </row>
    <row r="17" spans="1:14" x14ac:dyDescent="0.45">
      <c r="A17" s="39" t="s">
        <v>24</v>
      </c>
      <c r="B17" s="40" t="s">
        <v>45</v>
      </c>
      <c r="C17" s="41" t="s">
        <v>11</v>
      </c>
      <c r="D17" s="42">
        <v>4</v>
      </c>
      <c r="E17" s="42">
        <v>0</v>
      </c>
      <c r="F17" s="42">
        <f>Décembre[[#This Row],[Temps Passé Période (h)]]+Novembre[[#This Row],[Temps Passé Cumul (h)]]</f>
        <v>0</v>
      </c>
      <c r="G17" s="42">
        <f>MAX(Décembre[[#This Row],[Charge Initiale (h)]]-Décembre[[#This Row],[Temps Passé Cumul (h)]], 0)</f>
        <v>4</v>
      </c>
      <c r="H17" s="42">
        <f>Décembre[[#This Row],[Temps Passé Cumul (h)]]+Décembre[[#This Row],[Reste à Passer (h)]]</f>
        <v>4</v>
      </c>
      <c r="I17" s="42">
        <f>Décembre[[#This Row],[Charge Initiale (h)]]-Décembre[[#This Row],[Charge Révisée (h)]]</f>
        <v>0</v>
      </c>
      <c r="J17" s="42" t="str">
        <f>IF(Décembre[[#This Row],[Qui]]="Chef de projet","35",IF(Décembre[[#This Row],[Qui]]="Ingénieur Electronique","32",IF(Décembre[[#This Row],[Qui]]="Ingénieur qualité","36",IF(Décembre[[#This Row],[Qui]]="Ingénieur Développement",30,IF(Décembre[[#This Row],[Qui]]="Ingénieur Mécanique",34,"")))))</f>
        <v>35</v>
      </c>
      <c r="K17" s="42">
        <f>Décembre[[#This Row],[Charge Initiale (h)]]*Décembre[[#This Row],[Prix de Revient Unitaire (€)]]</f>
        <v>140</v>
      </c>
      <c r="L17" s="42">
        <f>Décembre[[#This Row],[Charge Révisée (h)]]*Décembre[[#This Row],[Prix de Revient Unitaire (€)]]</f>
        <v>140</v>
      </c>
      <c r="M17" s="42">
        <f>Décembre[[#This Row],[Prix de Revient Unitaire (€)]]*Décembre[[#This Row],[Temps Passé Cumul (h)]]</f>
        <v>0</v>
      </c>
      <c r="N17" s="43" t="s">
        <v>29</v>
      </c>
    </row>
    <row r="18" spans="1:14" x14ac:dyDescent="0.45">
      <c r="A18" s="72" t="s">
        <v>30</v>
      </c>
      <c r="B18" s="44" t="s">
        <v>46</v>
      </c>
      <c r="C18" s="44" t="s">
        <v>11</v>
      </c>
      <c r="D18" s="45">
        <v>3</v>
      </c>
      <c r="E18" s="45">
        <v>0</v>
      </c>
      <c r="F18" s="45">
        <f>Décembre[[#This Row],[Temps Passé Période (h)]]+Novembre[[#This Row],[Temps Passé Cumul (h)]]</f>
        <v>0</v>
      </c>
      <c r="G18" s="45">
        <f>MAX(Décembre[[#This Row],[Charge Initiale (h)]]-Décembre[[#This Row],[Temps Passé Cumul (h)]], 0)</f>
        <v>3</v>
      </c>
      <c r="H18" s="45">
        <f>Décembre[[#This Row],[Temps Passé Cumul (h)]]+Décembre[[#This Row],[Reste à Passer (h)]]</f>
        <v>3</v>
      </c>
      <c r="I18" s="45">
        <f>Décembre[[#This Row],[Charge Initiale (h)]]-Décembre[[#This Row],[Charge Révisée (h)]]</f>
        <v>0</v>
      </c>
      <c r="J18" s="45" t="str">
        <f>IF(Décembre[[#This Row],[Qui]]="Chef de projet","35",IF(Décembre[[#This Row],[Qui]]="Ingénieur Electronique","32",IF(Décembre[[#This Row],[Qui]]="Ingénieur qualité","36",IF(Décembre[[#This Row],[Qui]]="Ingénieur Développement",30,IF(Décembre[[#This Row],[Qui]]="Ingénieur Mécanique",34,"")))))</f>
        <v>35</v>
      </c>
      <c r="K18" s="45">
        <f>Décembre[[#This Row],[Charge Initiale (h)]]*Décembre[[#This Row],[Prix de Revient Unitaire (€)]]</f>
        <v>105</v>
      </c>
      <c r="L18" s="45">
        <f>Décembre[[#This Row],[Charge Révisée (h)]]*Décembre[[#This Row],[Prix de Revient Unitaire (€)]]</f>
        <v>105</v>
      </c>
      <c r="M18" s="45">
        <f>Décembre[[#This Row],[Prix de Revient Unitaire (€)]]*Décembre[[#This Row],[Temps Passé Cumul (h)]]</f>
        <v>0</v>
      </c>
      <c r="N18" s="46" t="s">
        <v>29</v>
      </c>
    </row>
    <row r="19" spans="1:14" x14ac:dyDescent="0.45">
      <c r="A19" s="73"/>
      <c r="B19" s="44" t="s">
        <v>47</v>
      </c>
      <c r="C19" s="44" t="s">
        <v>11</v>
      </c>
      <c r="D19" s="45">
        <v>8</v>
      </c>
      <c r="E19" s="45">
        <v>0</v>
      </c>
      <c r="F19" s="45">
        <f>Décembre[[#This Row],[Temps Passé Période (h)]]+Novembre[[#This Row],[Temps Passé Cumul (h)]]</f>
        <v>0</v>
      </c>
      <c r="G19" s="45">
        <f>MAX(Décembre[[#This Row],[Charge Initiale (h)]]-Décembre[[#This Row],[Temps Passé Cumul (h)]], 0)</f>
        <v>8</v>
      </c>
      <c r="H19" s="45">
        <f>Décembre[[#This Row],[Temps Passé Cumul (h)]]+Décembre[[#This Row],[Reste à Passer (h)]]</f>
        <v>8</v>
      </c>
      <c r="I19" s="45">
        <f>Décembre[[#This Row],[Charge Initiale (h)]]-Décembre[[#This Row],[Charge Révisée (h)]]</f>
        <v>0</v>
      </c>
      <c r="J19" s="45" t="str">
        <f>IF(Décembre[[#This Row],[Qui]]="Chef de projet","35",IF(Décembre[[#This Row],[Qui]]="Ingénieur Electronique","32",IF(Décembre[[#This Row],[Qui]]="Ingénieur qualité","36",IF(Décembre[[#This Row],[Qui]]="Ingénieur Développement",30,IF(Décembre[[#This Row],[Qui]]="Ingénieur Mécanique",34,"")))))</f>
        <v>35</v>
      </c>
      <c r="K19" s="45">
        <f>Décembre[[#This Row],[Charge Initiale (h)]]*Décembre[[#This Row],[Prix de Revient Unitaire (€)]]</f>
        <v>280</v>
      </c>
      <c r="L19" s="45">
        <f>Décembre[[#This Row],[Charge Révisée (h)]]*Décembre[[#This Row],[Prix de Revient Unitaire (€)]]</f>
        <v>280</v>
      </c>
      <c r="M19" s="45">
        <f>Décembre[[#This Row],[Prix de Revient Unitaire (€)]]*Décembre[[#This Row],[Temps Passé Cumul (h)]]</f>
        <v>0</v>
      </c>
      <c r="N19" s="46" t="s">
        <v>29</v>
      </c>
    </row>
    <row r="20" spans="1:14" x14ac:dyDescent="0.45">
      <c r="A20" s="47" t="s">
        <v>31</v>
      </c>
      <c r="B20" s="48" t="s">
        <v>48</v>
      </c>
      <c r="C20" s="48" t="s">
        <v>11</v>
      </c>
      <c r="D20" s="49">
        <v>2</v>
      </c>
      <c r="E20" s="49">
        <v>0</v>
      </c>
      <c r="F20" s="49">
        <f>Décembre[[#This Row],[Temps Passé Période (h)]]+Novembre[[#This Row],[Temps Passé Cumul (h)]]</f>
        <v>0</v>
      </c>
      <c r="G20" s="49">
        <f>MAX(Décembre[[#This Row],[Charge Initiale (h)]]-Décembre[[#This Row],[Temps Passé Cumul (h)]], 0)</f>
        <v>2</v>
      </c>
      <c r="H20" s="49">
        <f>Décembre[[#This Row],[Temps Passé Cumul (h)]]+Décembre[[#This Row],[Reste à Passer (h)]]</f>
        <v>2</v>
      </c>
      <c r="I20" s="49">
        <f>Décembre[[#This Row],[Charge Initiale (h)]]-Décembre[[#This Row],[Charge Révisée (h)]]</f>
        <v>0</v>
      </c>
      <c r="J20" s="49" t="str">
        <f>IF(Décembre[[#This Row],[Qui]]="Chef de projet","35",IF(Décembre[[#This Row],[Qui]]="Ingénieur Electronique","32",IF(Décembre[[#This Row],[Qui]]="Ingénieur qualité","36",IF(Décembre[[#This Row],[Qui]]="Ingénieur Développement",30,IF(Décembre[[#This Row],[Qui]]="Ingénieur Mécanique",34,"")))))</f>
        <v>35</v>
      </c>
      <c r="K20" s="49">
        <f>Décembre[[#This Row],[Charge Initiale (h)]]*Décembre[[#This Row],[Prix de Revient Unitaire (€)]]</f>
        <v>70</v>
      </c>
      <c r="L20" s="49">
        <f>Décembre[[#This Row],[Charge Révisée (h)]]*Décembre[[#This Row],[Prix de Revient Unitaire (€)]]</f>
        <v>70</v>
      </c>
      <c r="M20" s="49">
        <f>Décembre[[#This Row],[Prix de Revient Unitaire (€)]]*Décembre[[#This Row],[Temps Passé Cumul (h)]]</f>
        <v>0</v>
      </c>
      <c r="N20" s="50" t="s">
        <v>29</v>
      </c>
    </row>
    <row r="21" spans="1:14" ht="14.65" thickBot="1" x14ac:dyDescent="0.5">
      <c r="A21" s="14"/>
      <c r="B21" s="15" t="s">
        <v>13</v>
      </c>
      <c r="C21" s="15"/>
      <c r="D21" s="15">
        <f>SUBTOTAL(109,Décembre[Charge Initiale (h)])</f>
        <v>94</v>
      </c>
      <c r="E21" s="15">
        <f>SUBTOTAL(109,Décembre[Temps Passé Période (h)])</f>
        <v>0</v>
      </c>
      <c r="F21" s="15">
        <f>SUBTOTAL(109,Décembre[Temps Passé Cumul (h)])</f>
        <v>30</v>
      </c>
      <c r="G21" s="15">
        <f>SUBTOTAL(109,Décembre[Reste à Passer (h)])</f>
        <v>67</v>
      </c>
      <c r="H21" s="15">
        <f>SUBTOTAL(109,Décembre[Charge Révisée (h)])</f>
        <v>97</v>
      </c>
      <c r="I21" s="15">
        <f>SUBTOTAL(109,Décembre[Écart de Charge (h)])</f>
        <v>-3</v>
      </c>
      <c r="J21" s="15">
        <f>SUBTOTAL(109,Décembre[Prix de Revient Unitaire (€)])</f>
        <v>0</v>
      </c>
      <c r="K21" s="15">
        <f>SUBTOTAL(109,Décembre[Coût Initial (€)])</f>
        <v>3290</v>
      </c>
      <c r="L21" s="16">
        <f>SUBTOTAL(109,Décembre[Coût Révisé (€)])</f>
        <v>3395</v>
      </c>
      <c r="M21" s="15">
        <f>SUBTOTAL(109,Décembre[Coût Réel (€)])</f>
        <v>1050</v>
      </c>
      <c r="N21" s="17"/>
    </row>
    <row r="22" spans="1:14" x14ac:dyDescent="0.4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4" x14ac:dyDescent="0.45">
      <c r="B23" s="3" t="s">
        <v>15</v>
      </c>
      <c r="C23" s="3" t="s">
        <v>26</v>
      </c>
      <c r="M23" s="2" t="s">
        <v>27</v>
      </c>
    </row>
    <row r="24" spans="1:14" x14ac:dyDescent="0.45">
      <c r="B24" s="2" t="s">
        <v>16</v>
      </c>
      <c r="C24" s="2">
        <v>115</v>
      </c>
      <c r="M24" s="2" t="s">
        <v>28</v>
      </c>
    </row>
    <row r="25" spans="1:14" x14ac:dyDescent="0.45">
      <c r="B25" s="2" t="s">
        <v>13</v>
      </c>
      <c r="C25" s="2">
        <f>SUM(C24:C24)</f>
        <v>115</v>
      </c>
      <c r="M25" s="2" t="s">
        <v>29</v>
      </c>
    </row>
  </sheetData>
  <autoFilter ref="N1:N20" xr:uid="{CAAB9D51-8698-444C-82E6-BFB76B796633}"/>
  <mergeCells count="5">
    <mergeCell ref="A2:A5"/>
    <mergeCell ref="A6:A9"/>
    <mergeCell ref="A10:A12"/>
    <mergeCell ref="A18:A19"/>
    <mergeCell ref="A13:A14"/>
  </mergeCells>
  <dataValidations disablePrompts="1" count="2">
    <dataValidation type="list" allowBlank="1" showInputMessage="1" showErrorMessage="1" sqref="N2:N20" xr:uid="{65857B89-0EDC-4DBA-AD34-AC7344C7BB41}">
      <formula1>$M$24:$M$25</formula1>
    </dataValidation>
    <dataValidation type="list" allowBlank="1" showInputMessage="1" showErrorMessage="1" sqref="C2:C20" xr:uid="{DEC9CFAB-BF27-4CBA-9266-09B6AD138842}">
      <formula1>$B$24:$B$24</formula1>
    </dataValidation>
  </dataValidations>
  <printOptions horizontalCentered="1" verticalCentered="1"/>
  <pageMargins left="0.25" right="0.25" top="0.75" bottom="0.75" header="0.3" footer="0.3"/>
  <pageSetup paperSize="9" scale="51" orientation="landscape" r:id="rId1"/>
  <headerFooter>
    <oddHeader>&amp;A</oddHead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C098C-0658-4652-835D-494028FEA0CD}">
  <sheetPr>
    <pageSetUpPr fitToPage="1"/>
  </sheetPr>
  <dimension ref="A1:N25"/>
  <sheetViews>
    <sheetView zoomScale="65" zoomScaleNormal="65" workbookViewId="0">
      <selection activeCell="N1" sqref="N1"/>
    </sheetView>
  </sheetViews>
  <sheetFormatPr baseColWidth="10" defaultColWidth="8.53125" defaultRowHeight="14.25" x14ac:dyDescent="0.45"/>
  <cols>
    <col min="1" max="1" width="17.796875" bestFit="1" customWidth="1"/>
    <col min="2" max="2" width="39.06640625" bestFit="1" customWidth="1"/>
    <col min="3" max="3" width="14.86328125" bestFit="1" customWidth="1"/>
    <col min="4" max="4" width="18.73046875" bestFit="1" customWidth="1"/>
    <col min="5" max="5" width="24.19921875" bestFit="1" customWidth="1"/>
    <col min="6" max="6" width="22.9296875" bestFit="1" customWidth="1"/>
    <col min="7" max="7" width="18.73046875" bestFit="1" customWidth="1"/>
    <col min="8" max="8" width="19.46484375" bestFit="1" customWidth="1"/>
    <col min="9" max="9" width="19.53125" bestFit="1" customWidth="1"/>
    <col min="10" max="10" width="26.59765625" bestFit="1" customWidth="1"/>
    <col min="11" max="11" width="15.86328125" bestFit="1" customWidth="1"/>
    <col min="12" max="12" width="16.59765625" bestFit="1" customWidth="1"/>
    <col min="13" max="13" width="14.86328125" bestFit="1" customWidth="1"/>
    <col min="14" max="14" width="9.19921875" bestFit="1" customWidth="1"/>
  </cols>
  <sheetData>
    <row r="1" spans="1:14" x14ac:dyDescent="0.45">
      <c r="A1" s="8" t="s">
        <v>18</v>
      </c>
      <c r="B1" s="9" t="s">
        <v>6</v>
      </c>
      <c r="C1" s="9" t="s">
        <v>7</v>
      </c>
      <c r="D1" s="9" t="s">
        <v>51</v>
      </c>
      <c r="E1" s="9" t="s">
        <v>52</v>
      </c>
      <c r="F1" s="9" t="s">
        <v>53</v>
      </c>
      <c r="G1" s="9" t="s">
        <v>54</v>
      </c>
      <c r="H1" s="9" t="s">
        <v>55</v>
      </c>
      <c r="I1" s="9" t="s">
        <v>56</v>
      </c>
      <c r="J1" s="9" t="s">
        <v>57</v>
      </c>
      <c r="K1" s="10" t="s">
        <v>8</v>
      </c>
      <c r="L1" s="10" t="s">
        <v>9</v>
      </c>
      <c r="M1" s="10" t="s">
        <v>50</v>
      </c>
      <c r="N1" s="11" t="s">
        <v>25</v>
      </c>
    </row>
    <row r="2" spans="1:14" x14ac:dyDescent="0.45">
      <c r="A2" s="76" t="s">
        <v>19</v>
      </c>
      <c r="B2" s="20" t="s">
        <v>32</v>
      </c>
      <c r="C2" s="21" t="s">
        <v>11</v>
      </c>
      <c r="D2" s="22">
        <v>5</v>
      </c>
      <c r="E2" s="22">
        <v>0</v>
      </c>
      <c r="F2" s="22">
        <f>Janvier[[#This Row],[Temps Passé Période (h)]]+Décembre[[#This Row],[Temps Passé Cumul (h)]]</f>
        <v>7</v>
      </c>
      <c r="G2" s="22">
        <f>MAX(Janvier[[#This Row],[Charge Initiale (h)]]-Janvier[[#This Row],[Temps Passé Cumul (h)]], 0)</f>
        <v>0</v>
      </c>
      <c r="H2" s="22">
        <f>Janvier[[#This Row],[Temps Passé Cumul (h)]]+Janvier[[#This Row],[Reste à Passer (h)]]</f>
        <v>7</v>
      </c>
      <c r="I2" s="22">
        <f>Janvier[[#This Row],[Charge Initiale (h)]]-Janvier[[#This Row],[Charge Révisée (h)]]</f>
        <v>-2</v>
      </c>
      <c r="J2" s="22" t="str">
        <f>IF(Janvier[[#This Row],[Qui]]="Chef de projet","35",IF(Janvier[[#This Row],[Qui]]="Ingénieur Electronique","32",IF(Janvier[[#This Row],[Qui]]="Ingénieur qualité","36",IF(Janvier[[#This Row],[Qui]]="Ingénieur Développement",30,IF(Janvier[[#This Row],[Qui]]="Ingénieur Mécanique",34,"")))))</f>
        <v>35</v>
      </c>
      <c r="K2" s="22">
        <f>Janvier[[#This Row],[Charge Initiale (h)]]*Janvier[[#This Row],[Prix de Revient Unitaire (€)]]</f>
        <v>175</v>
      </c>
      <c r="L2" s="22">
        <f>Janvier[[#This Row],[Charge Révisée (h)]]*Janvier[[#This Row],[Prix de Revient Unitaire (€)]]</f>
        <v>245</v>
      </c>
      <c r="M2" s="22">
        <f>Janvier[[#This Row],[Prix de Revient Unitaire (€)]]*Janvier[[#This Row],[Temps Passé Cumul (h)]]</f>
        <v>245</v>
      </c>
      <c r="N2" s="23" t="s">
        <v>28</v>
      </c>
    </row>
    <row r="3" spans="1:14" x14ac:dyDescent="0.45">
      <c r="A3" s="77"/>
      <c r="B3" s="20" t="s">
        <v>33</v>
      </c>
      <c r="C3" s="21" t="s">
        <v>11</v>
      </c>
      <c r="D3" s="22">
        <v>5</v>
      </c>
      <c r="E3" s="22">
        <v>0</v>
      </c>
      <c r="F3" s="22">
        <f>Janvier[[#This Row],[Temps Passé Période (h)]]+Décembre[[#This Row],[Temps Passé Cumul (h)]]</f>
        <v>4</v>
      </c>
      <c r="G3" s="22">
        <f>MAX(Janvier[[#This Row],[Charge Initiale (h)]]-Janvier[[#This Row],[Temps Passé Cumul (h)]], 0)</f>
        <v>1</v>
      </c>
      <c r="H3" s="22">
        <f>Janvier[[#This Row],[Temps Passé Cumul (h)]]+Janvier[[#This Row],[Reste à Passer (h)]]</f>
        <v>5</v>
      </c>
      <c r="I3" s="22">
        <f>Janvier[[#This Row],[Charge Initiale (h)]]-Janvier[[#This Row],[Charge Révisée (h)]]</f>
        <v>0</v>
      </c>
      <c r="J3" s="22" t="str">
        <f>IF(Janvier[[#This Row],[Qui]]="Chef de projet","35",IF(Janvier[[#This Row],[Qui]]="Ingénieur Electronique","32",IF(Janvier[[#This Row],[Qui]]="Ingénieur qualité","36",IF(Janvier[[#This Row],[Qui]]="Ingénieur Développement",30,IF(Janvier[[#This Row],[Qui]]="Ingénieur Mécanique",34,"")))))</f>
        <v>35</v>
      </c>
      <c r="K3" s="22">
        <f>Janvier[[#This Row],[Charge Initiale (h)]]*Janvier[[#This Row],[Prix de Revient Unitaire (€)]]</f>
        <v>175</v>
      </c>
      <c r="L3" s="22">
        <f>Janvier[[#This Row],[Charge Révisée (h)]]*Janvier[[#This Row],[Prix de Revient Unitaire (€)]]</f>
        <v>175</v>
      </c>
      <c r="M3" s="22">
        <f>Janvier[[#This Row],[Prix de Revient Unitaire (€)]]*Janvier[[#This Row],[Temps Passé Cumul (h)]]</f>
        <v>140</v>
      </c>
      <c r="N3" s="23" t="s">
        <v>29</v>
      </c>
    </row>
    <row r="4" spans="1:14" x14ac:dyDescent="0.45">
      <c r="A4" s="77"/>
      <c r="B4" s="20" t="s">
        <v>34</v>
      </c>
      <c r="C4" s="21" t="s">
        <v>11</v>
      </c>
      <c r="D4" s="22">
        <v>2</v>
      </c>
      <c r="E4" s="22">
        <v>0</v>
      </c>
      <c r="F4" s="22">
        <f>Janvier[[#This Row],[Temps Passé Période (h)]]+Décembre[[#This Row],[Temps Passé Cumul (h)]]</f>
        <v>3</v>
      </c>
      <c r="G4" s="22">
        <f>MAX(Janvier[[#This Row],[Charge Initiale (h)]]-Janvier[[#This Row],[Temps Passé Cumul (h)]], 0)</f>
        <v>0</v>
      </c>
      <c r="H4" s="22">
        <f>Janvier[[#This Row],[Temps Passé Cumul (h)]]+Janvier[[#This Row],[Reste à Passer (h)]]</f>
        <v>3</v>
      </c>
      <c r="I4" s="22">
        <f>Janvier[[#This Row],[Charge Initiale (h)]]-Janvier[[#This Row],[Charge Révisée (h)]]</f>
        <v>-1</v>
      </c>
      <c r="J4" s="24" t="str">
        <f>IF(Janvier[[#This Row],[Qui]]="Chef de projet","35",IF(Janvier[[#This Row],[Qui]]="Ingénieur Electronique","32",IF(Janvier[[#This Row],[Qui]]="Ingénieur qualité","36",IF(Janvier[[#This Row],[Qui]]="Ingénieur Développement",30,IF(Janvier[[#This Row],[Qui]]="Ingénieur Mécanique",34,"")))))</f>
        <v>35</v>
      </c>
      <c r="K4" s="22">
        <f>Janvier[[#This Row],[Charge Initiale (h)]]*Janvier[[#This Row],[Prix de Revient Unitaire (€)]]</f>
        <v>70</v>
      </c>
      <c r="L4" s="22">
        <f>Janvier[[#This Row],[Charge Révisée (h)]]*Janvier[[#This Row],[Prix de Revient Unitaire (€)]]</f>
        <v>105</v>
      </c>
      <c r="M4" s="22">
        <f>Janvier[[#This Row],[Prix de Revient Unitaire (€)]]*Janvier[[#This Row],[Temps Passé Cumul (h)]]</f>
        <v>105</v>
      </c>
      <c r="N4" s="23" t="s">
        <v>28</v>
      </c>
    </row>
    <row r="5" spans="1:14" x14ac:dyDescent="0.45">
      <c r="A5" s="78"/>
      <c r="B5" s="20" t="s">
        <v>35</v>
      </c>
      <c r="C5" s="21" t="s">
        <v>11</v>
      </c>
      <c r="D5" s="22">
        <v>2</v>
      </c>
      <c r="E5" s="22">
        <v>0</v>
      </c>
      <c r="F5" s="22">
        <f>Janvier[[#This Row],[Temps Passé Période (h)]]+Décembre[[#This Row],[Temps Passé Cumul (h)]]</f>
        <v>2</v>
      </c>
      <c r="G5" s="22">
        <f>MAX(Janvier[[#This Row],[Charge Initiale (h)]]-Janvier[[#This Row],[Temps Passé Cumul (h)]], 0)</f>
        <v>0</v>
      </c>
      <c r="H5" s="22">
        <f>Janvier[[#This Row],[Temps Passé Cumul (h)]]+Janvier[[#This Row],[Reste à Passer (h)]]</f>
        <v>2</v>
      </c>
      <c r="I5" s="22">
        <f>Janvier[[#This Row],[Charge Initiale (h)]]-Janvier[[#This Row],[Charge Révisée (h)]]</f>
        <v>0</v>
      </c>
      <c r="J5" s="24" t="str">
        <f>IF(Janvier[[#This Row],[Qui]]="Chef de projet","35",IF(Janvier[[#This Row],[Qui]]="Ingénieur Electronique","32",IF(Janvier[[#This Row],[Qui]]="Ingénieur qualité","36",IF(Janvier[[#This Row],[Qui]]="Ingénieur Développement",30,IF(Janvier[[#This Row],[Qui]]="Ingénieur Mécanique",34,"")))))</f>
        <v>35</v>
      </c>
      <c r="K5" s="22">
        <f>Janvier[[#This Row],[Charge Initiale (h)]]*Janvier[[#This Row],[Prix de Revient Unitaire (€)]]</f>
        <v>70</v>
      </c>
      <c r="L5" s="22">
        <f>Janvier[[#This Row],[Charge Révisée (h)]]*Janvier[[#This Row],[Prix de Revient Unitaire (€)]]</f>
        <v>70</v>
      </c>
      <c r="M5" s="22">
        <f>Janvier[[#This Row],[Prix de Revient Unitaire (€)]]*Janvier[[#This Row],[Temps Passé Cumul (h)]]</f>
        <v>70</v>
      </c>
      <c r="N5" s="23" t="s">
        <v>29</v>
      </c>
    </row>
    <row r="6" spans="1:14" x14ac:dyDescent="0.45">
      <c r="A6" s="79" t="s">
        <v>12</v>
      </c>
      <c r="B6" s="5" t="s">
        <v>17</v>
      </c>
      <c r="C6" s="18" t="s">
        <v>11</v>
      </c>
      <c r="D6" s="4">
        <v>8</v>
      </c>
      <c r="E6" s="4">
        <v>0</v>
      </c>
      <c r="F6" s="4">
        <f>Janvier[[#This Row],[Temps Passé Période (h)]]+Décembre[[#This Row],[Temps Passé Cumul (h)]]</f>
        <v>8</v>
      </c>
      <c r="G6" s="4">
        <f>MAX(Janvier[[#This Row],[Charge Initiale (h)]]-Janvier[[#This Row],[Temps Passé Cumul (h)]], 0)</f>
        <v>0</v>
      </c>
      <c r="H6" s="4">
        <f>Janvier[[#This Row],[Temps Passé Cumul (h)]]+Janvier[[#This Row],[Reste à Passer (h)]]</f>
        <v>8</v>
      </c>
      <c r="I6" s="4">
        <f>Janvier[[#This Row],[Charge Initiale (h)]]-Janvier[[#This Row],[Charge Révisée (h)]]</f>
        <v>0</v>
      </c>
      <c r="J6" s="4" t="str">
        <f>IF(Janvier[[#This Row],[Qui]]="Chef de projet","35",IF(Janvier[[#This Row],[Qui]]="Ingénieur Electronique","32",IF(Janvier[[#This Row],[Qui]]="Ingénieur qualité","36",IF(Janvier[[#This Row],[Qui]]="Ingénieur Développement",30,IF(Janvier[[#This Row],[Qui]]="Ingénieur Mécanique",34,"")))))</f>
        <v>35</v>
      </c>
      <c r="K6" s="4">
        <f>Janvier[[#This Row],[Charge Initiale (h)]]*Janvier[[#This Row],[Prix de Revient Unitaire (€)]]</f>
        <v>280</v>
      </c>
      <c r="L6" s="4">
        <f>Janvier[[#This Row],[Charge Révisée (h)]]*Janvier[[#This Row],[Prix de Revient Unitaire (€)]]</f>
        <v>280</v>
      </c>
      <c r="M6" s="4">
        <f>Janvier[[#This Row],[Prix de Revient Unitaire (€)]]*Janvier[[#This Row],[Temps Passé Cumul (h)]]</f>
        <v>280</v>
      </c>
      <c r="N6" s="12" t="s">
        <v>29</v>
      </c>
    </row>
    <row r="7" spans="1:14" x14ac:dyDescent="0.45">
      <c r="A7" s="80"/>
      <c r="B7" s="5" t="s">
        <v>36</v>
      </c>
      <c r="C7" s="18" t="s">
        <v>11</v>
      </c>
      <c r="D7" s="4">
        <v>3</v>
      </c>
      <c r="E7" s="4">
        <v>0</v>
      </c>
      <c r="F7" s="4">
        <f>Janvier[[#This Row],[Temps Passé Période (h)]]+Décembre[[#This Row],[Temps Passé Cumul (h)]]</f>
        <v>3</v>
      </c>
      <c r="G7" s="4">
        <f>MAX(Janvier[[#This Row],[Charge Initiale (h)]]-Janvier[[#This Row],[Temps Passé Cumul (h)]], 0)</f>
        <v>0</v>
      </c>
      <c r="H7" s="4">
        <f>Janvier[[#This Row],[Temps Passé Cumul (h)]]+Janvier[[#This Row],[Reste à Passer (h)]]</f>
        <v>3</v>
      </c>
      <c r="I7" s="4">
        <f>Janvier[[#This Row],[Charge Initiale (h)]]-Janvier[[#This Row],[Charge Révisée (h)]]</f>
        <v>0</v>
      </c>
      <c r="J7" s="4" t="str">
        <f>IF(Janvier[[#This Row],[Qui]]="Chef de projet","35",IF(Janvier[[#This Row],[Qui]]="Ingénieur Electronique","32",IF(Janvier[[#This Row],[Qui]]="Ingénieur qualité","36",IF(Janvier[[#This Row],[Qui]]="Ingénieur Développement",30,IF(Janvier[[#This Row],[Qui]]="Ingénieur Mécanique",34,"")))))</f>
        <v>35</v>
      </c>
      <c r="K7" s="4">
        <f>Janvier[[#This Row],[Charge Initiale (h)]]*Janvier[[#This Row],[Prix de Revient Unitaire (€)]]</f>
        <v>105</v>
      </c>
      <c r="L7" s="4">
        <f>Janvier[[#This Row],[Charge Révisée (h)]]*Janvier[[#This Row],[Prix de Revient Unitaire (€)]]</f>
        <v>105</v>
      </c>
      <c r="M7" s="4">
        <f>Janvier[[#This Row],[Prix de Revient Unitaire (€)]]*Janvier[[#This Row],[Temps Passé Cumul (h)]]</f>
        <v>105</v>
      </c>
      <c r="N7" s="12" t="s">
        <v>29</v>
      </c>
    </row>
    <row r="8" spans="1:14" x14ac:dyDescent="0.45">
      <c r="A8" s="80"/>
      <c r="B8" s="5" t="s">
        <v>37</v>
      </c>
      <c r="C8" s="18" t="s">
        <v>11</v>
      </c>
      <c r="D8" s="4">
        <v>3</v>
      </c>
      <c r="E8" s="4">
        <v>0</v>
      </c>
      <c r="F8" s="4">
        <f>Janvier[[#This Row],[Temps Passé Période (h)]]+Décembre[[#This Row],[Temps Passé Cumul (h)]]</f>
        <v>3</v>
      </c>
      <c r="G8" s="4">
        <f>MAX(Janvier[[#This Row],[Charge Initiale (h)]]-Janvier[[#This Row],[Temps Passé Cumul (h)]], 0)</f>
        <v>0</v>
      </c>
      <c r="H8" s="4">
        <f>Janvier[[#This Row],[Temps Passé Cumul (h)]]+Janvier[[#This Row],[Reste à Passer (h)]]</f>
        <v>3</v>
      </c>
      <c r="I8" s="4">
        <f>Janvier[[#This Row],[Charge Initiale (h)]]-Janvier[[#This Row],[Charge Révisée (h)]]</f>
        <v>0</v>
      </c>
      <c r="J8" s="4" t="str">
        <f>IF(Janvier[[#This Row],[Qui]]="Chef de projet","35",IF(Janvier[[#This Row],[Qui]]="Ingénieur Electronique","32",IF(Janvier[[#This Row],[Qui]]="Ingénieur qualité","36",IF(Janvier[[#This Row],[Qui]]="Ingénieur Développement",30,IF(Janvier[[#This Row],[Qui]]="Ingénieur Mécanique",34,"")))))</f>
        <v>35</v>
      </c>
      <c r="K8" s="4">
        <f>Janvier[[#This Row],[Charge Initiale (h)]]*Janvier[[#This Row],[Prix de Revient Unitaire (€)]]</f>
        <v>105</v>
      </c>
      <c r="L8" s="4">
        <f>Janvier[[#This Row],[Charge Révisée (h)]]*Janvier[[#This Row],[Prix de Revient Unitaire (€)]]</f>
        <v>105</v>
      </c>
      <c r="M8" s="4">
        <f>Janvier[[#This Row],[Prix de Revient Unitaire (€)]]*Janvier[[#This Row],[Temps Passé Cumul (h)]]</f>
        <v>105</v>
      </c>
      <c r="N8" s="12" t="s">
        <v>29</v>
      </c>
    </row>
    <row r="9" spans="1:14" x14ac:dyDescent="0.45">
      <c r="A9" s="81"/>
      <c r="B9" s="5" t="s">
        <v>38</v>
      </c>
      <c r="C9" s="18" t="s">
        <v>11</v>
      </c>
      <c r="D9" s="4">
        <v>1.5</v>
      </c>
      <c r="E9" s="4">
        <v>0</v>
      </c>
      <c r="F9" s="4">
        <f>Janvier[[#This Row],[Temps Passé Période (h)]]+Décembre[[#This Row],[Temps Passé Cumul (h)]]</f>
        <v>0</v>
      </c>
      <c r="G9" s="4">
        <f>MAX(Janvier[[#This Row],[Charge Initiale (h)]]-Janvier[[#This Row],[Temps Passé Cumul (h)]], 0)</f>
        <v>1.5</v>
      </c>
      <c r="H9" s="4">
        <f>Janvier[[#This Row],[Temps Passé Cumul (h)]]+Janvier[[#This Row],[Reste à Passer (h)]]</f>
        <v>1.5</v>
      </c>
      <c r="I9" s="4">
        <f>Janvier[[#This Row],[Charge Initiale (h)]]-Janvier[[#This Row],[Charge Révisée (h)]]</f>
        <v>0</v>
      </c>
      <c r="J9" s="4" t="str">
        <f>IF(Janvier[[#This Row],[Qui]]="Chef de projet","35",IF(Janvier[[#This Row],[Qui]]="Ingénieur Electronique","32",IF(Janvier[[#This Row],[Qui]]="Ingénieur qualité","36",IF(Janvier[[#This Row],[Qui]]="Ingénieur Développement",30,IF(Janvier[[#This Row],[Qui]]="Ingénieur Mécanique",34,"")))))</f>
        <v>35</v>
      </c>
      <c r="K9" s="4">
        <f>Janvier[[#This Row],[Charge Initiale (h)]]*Janvier[[#This Row],[Prix de Revient Unitaire (€)]]</f>
        <v>52.5</v>
      </c>
      <c r="L9" s="4">
        <f>Janvier[[#This Row],[Charge Révisée (h)]]*Janvier[[#This Row],[Prix de Revient Unitaire (€)]]</f>
        <v>52.5</v>
      </c>
      <c r="M9" s="4">
        <f>Janvier[[#This Row],[Prix de Revient Unitaire (€)]]*Janvier[[#This Row],[Temps Passé Cumul (h)]]</f>
        <v>0</v>
      </c>
      <c r="N9" s="12" t="s">
        <v>29</v>
      </c>
    </row>
    <row r="10" spans="1:14" x14ac:dyDescent="0.45">
      <c r="A10" s="82" t="s">
        <v>20</v>
      </c>
      <c r="B10" s="25" t="s">
        <v>39</v>
      </c>
      <c r="C10" s="26" t="s">
        <v>11</v>
      </c>
      <c r="D10" s="27">
        <v>5.5</v>
      </c>
      <c r="E10" s="27">
        <v>0</v>
      </c>
      <c r="F10" s="27">
        <f>Janvier[[#This Row],[Temps Passé Période (h)]]+Décembre[[#This Row],[Temps Passé Cumul (h)]]</f>
        <v>0</v>
      </c>
      <c r="G10" s="27">
        <f>MAX(Janvier[[#This Row],[Charge Initiale (h)]]-Janvier[[#This Row],[Temps Passé Cumul (h)]], 0)</f>
        <v>5.5</v>
      </c>
      <c r="H10" s="27">
        <f>Janvier[[#This Row],[Temps Passé Cumul (h)]]+Janvier[[#This Row],[Reste à Passer (h)]]</f>
        <v>5.5</v>
      </c>
      <c r="I10" s="27">
        <f>Janvier[[#This Row],[Charge Initiale (h)]]-Janvier[[#This Row],[Charge Révisée (h)]]</f>
        <v>0</v>
      </c>
      <c r="J10" s="27" t="str">
        <f>IF(Janvier[[#This Row],[Qui]]="Chef de projet","35",IF(Janvier[[#This Row],[Qui]]="Ingénieur Electronique","32",IF(Janvier[[#This Row],[Qui]]="Ingénieur qualité","36",IF(Janvier[[#This Row],[Qui]]="Ingénieur Développement",30,IF(Janvier[[#This Row],[Qui]]="Ingénieur Mécanique",34,"")))))</f>
        <v>35</v>
      </c>
      <c r="K10" s="27">
        <f>Janvier[[#This Row],[Charge Initiale (h)]]*Janvier[[#This Row],[Prix de Revient Unitaire (€)]]</f>
        <v>192.5</v>
      </c>
      <c r="L10" s="27">
        <f>Janvier[[#This Row],[Charge Révisée (h)]]*Janvier[[#This Row],[Prix de Revient Unitaire (€)]]</f>
        <v>192.5</v>
      </c>
      <c r="M10" s="27">
        <f>Janvier[[#This Row],[Prix de Revient Unitaire (€)]]*Janvier[[#This Row],[Temps Passé Cumul (h)]]</f>
        <v>0</v>
      </c>
      <c r="N10" s="28" t="s">
        <v>29</v>
      </c>
    </row>
    <row r="11" spans="1:14" x14ac:dyDescent="0.45">
      <c r="A11" s="83"/>
      <c r="B11" s="25" t="s">
        <v>40</v>
      </c>
      <c r="C11" s="26" t="s">
        <v>11</v>
      </c>
      <c r="D11" s="27">
        <v>3</v>
      </c>
      <c r="E11" s="27">
        <v>0</v>
      </c>
      <c r="F11" s="27">
        <f>Janvier[[#This Row],[Temps Passé Période (h)]]+Décembre[[#This Row],[Temps Passé Cumul (h)]]</f>
        <v>0</v>
      </c>
      <c r="G11" s="27">
        <f>MAX(Janvier[[#This Row],[Charge Initiale (h)]]-Janvier[[#This Row],[Temps Passé Cumul (h)]], 0)</f>
        <v>3</v>
      </c>
      <c r="H11" s="27">
        <f>Janvier[[#This Row],[Temps Passé Cumul (h)]]+Janvier[[#This Row],[Reste à Passer (h)]]</f>
        <v>3</v>
      </c>
      <c r="I11" s="27">
        <f>Janvier[[#This Row],[Charge Initiale (h)]]-Janvier[[#This Row],[Charge Révisée (h)]]</f>
        <v>0</v>
      </c>
      <c r="J11" s="27" t="str">
        <f>IF(Janvier[[#This Row],[Qui]]="Chef de projet","35",IF(Janvier[[#This Row],[Qui]]="Ingénieur Electronique","32",IF(Janvier[[#This Row],[Qui]]="Ingénieur qualité","36",IF(Janvier[[#This Row],[Qui]]="Ingénieur Développement",30,IF(Janvier[[#This Row],[Qui]]="Ingénieur Mécanique",34,"")))))</f>
        <v>35</v>
      </c>
      <c r="K11" s="27">
        <f>Janvier[[#This Row],[Charge Initiale (h)]]*Janvier[[#This Row],[Prix de Revient Unitaire (€)]]</f>
        <v>105</v>
      </c>
      <c r="L11" s="27">
        <f>Janvier[[#This Row],[Charge Révisée (h)]]*Janvier[[#This Row],[Prix de Revient Unitaire (€)]]</f>
        <v>105</v>
      </c>
      <c r="M11" s="27">
        <f>Janvier[[#This Row],[Prix de Revient Unitaire (€)]]*Janvier[[#This Row],[Temps Passé Cumul (h)]]</f>
        <v>0</v>
      </c>
      <c r="N11" s="28" t="s">
        <v>29</v>
      </c>
    </row>
    <row r="12" spans="1:14" x14ac:dyDescent="0.45">
      <c r="A12" s="84"/>
      <c r="B12" s="25" t="s">
        <v>41</v>
      </c>
      <c r="C12" s="26" t="s">
        <v>11</v>
      </c>
      <c r="D12" s="27">
        <v>2</v>
      </c>
      <c r="E12" s="27">
        <v>0</v>
      </c>
      <c r="F12" s="27">
        <f>Janvier[[#This Row],[Temps Passé Période (h)]]+Décembre[[#This Row],[Temps Passé Cumul (h)]]</f>
        <v>0</v>
      </c>
      <c r="G12" s="27">
        <f>MAX(Janvier[[#This Row],[Charge Initiale (h)]]-Janvier[[#This Row],[Temps Passé Cumul (h)]], 0)</f>
        <v>2</v>
      </c>
      <c r="H12" s="27">
        <f>Janvier[[#This Row],[Temps Passé Cumul (h)]]+Janvier[[#This Row],[Reste à Passer (h)]]</f>
        <v>2</v>
      </c>
      <c r="I12" s="27">
        <f>Janvier[[#This Row],[Charge Initiale (h)]]-Janvier[[#This Row],[Charge Révisée (h)]]</f>
        <v>0</v>
      </c>
      <c r="J12" s="27" t="str">
        <f>IF(Janvier[[#This Row],[Qui]]="Chef de projet","35",IF(Janvier[[#This Row],[Qui]]="Ingénieur Electronique","32",IF(Janvier[[#This Row],[Qui]]="Ingénieur qualité","36",IF(Janvier[[#This Row],[Qui]]="Ingénieur Développement",30,IF(Janvier[[#This Row],[Qui]]="Ingénieur Mécanique",34,"")))))</f>
        <v>35</v>
      </c>
      <c r="K12" s="27">
        <f>Janvier[[#This Row],[Charge Initiale (h)]]*Janvier[[#This Row],[Prix de Revient Unitaire (€)]]</f>
        <v>70</v>
      </c>
      <c r="L12" s="27">
        <f>Janvier[[#This Row],[Charge Révisée (h)]]*Janvier[[#This Row],[Prix de Revient Unitaire (€)]]</f>
        <v>70</v>
      </c>
      <c r="M12" s="27">
        <f>Janvier[[#This Row],[Prix de Revient Unitaire (€)]]*Janvier[[#This Row],[Temps Passé Cumul (h)]]</f>
        <v>0</v>
      </c>
      <c r="N12" s="28" t="s">
        <v>29</v>
      </c>
    </row>
    <row r="13" spans="1:14" x14ac:dyDescent="0.45">
      <c r="A13" s="85" t="s">
        <v>21</v>
      </c>
      <c r="B13" s="7" t="s">
        <v>42</v>
      </c>
      <c r="C13" s="19" t="s">
        <v>11</v>
      </c>
      <c r="D13" s="6">
        <v>7</v>
      </c>
      <c r="E13" s="6">
        <v>0</v>
      </c>
      <c r="F13" s="6">
        <f>Janvier[[#This Row],[Temps Passé Période (h)]]+Décembre[[#This Row],[Temps Passé Cumul (h)]]</f>
        <v>0</v>
      </c>
      <c r="G13" s="6">
        <f>MAX(Janvier[[#This Row],[Charge Initiale (h)]]-Janvier[[#This Row],[Temps Passé Cumul (h)]], 0)</f>
        <v>7</v>
      </c>
      <c r="H13" s="6">
        <f>Janvier[[#This Row],[Temps Passé Cumul (h)]]+Janvier[[#This Row],[Reste à Passer (h)]]</f>
        <v>7</v>
      </c>
      <c r="I13" s="6">
        <f>Janvier[[#This Row],[Charge Initiale (h)]]-Janvier[[#This Row],[Charge Révisée (h)]]</f>
        <v>0</v>
      </c>
      <c r="J13" s="6" t="str">
        <f>IF(Janvier[[#This Row],[Qui]]="Chef de projet","35",IF(Janvier[[#This Row],[Qui]]="Ingénieur Electronique","32",IF(Janvier[[#This Row],[Qui]]="Ingénieur qualité","36",IF(Janvier[[#This Row],[Qui]]="Ingénieur Développement",30,IF(Janvier[[#This Row],[Qui]]="Ingénieur Mécanique",34,"")))))</f>
        <v>35</v>
      </c>
      <c r="K13" s="6">
        <f>Janvier[[#This Row],[Charge Initiale (h)]]*Janvier[[#This Row],[Prix de Revient Unitaire (€)]]</f>
        <v>245</v>
      </c>
      <c r="L13" s="6">
        <f>Janvier[[#This Row],[Charge Révisée (h)]]*Janvier[[#This Row],[Prix de Revient Unitaire (€)]]</f>
        <v>245</v>
      </c>
      <c r="M13" s="6">
        <f>Janvier[[#This Row],[Prix de Revient Unitaire (€)]]*Janvier[[#This Row],[Temps Passé Cumul (h)]]</f>
        <v>0</v>
      </c>
      <c r="N13" s="13" t="s">
        <v>29</v>
      </c>
    </row>
    <row r="14" spans="1:14" x14ac:dyDescent="0.45">
      <c r="A14" s="86"/>
      <c r="B14" s="7" t="s">
        <v>49</v>
      </c>
      <c r="C14" s="19" t="s">
        <v>11</v>
      </c>
      <c r="D14" s="6">
        <v>4</v>
      </c>
      <c r="E14" s="6">
        <v>0</v>
      </c>
      <c r="F14" s="6">
        <f>Janvier[[#This Row],[Temps Passé Période (h)]]+Décembre[[#This Row],[Temps Passé Cumul (h)]]</f>
        <v>0</v>
      </c>
      <c r="G14" s="6">
        <f>MAX(Janvier[[#This Row],[Charge Initiale (h)]]-Janvier[[#This Row],[Temps Passé Cumul (h)]], 0)</f>
        <v>4</v>
      </c>
      <c r="H14" s="6">
        <f>Janvier[[#This Row],[Temps Passé Cumul (h)]]+Janvier[[#This Row],[Reste à Passer (h)]]</f>
        <v>4</v>
      </c>
      <c r="I14" s="6">
        <f>Janvier[[#This Row],[Charge Initiale (h)]]-Janvier[[#This Row],[Charge Révisée (h)]]</f>
        <v>0</v>
      </c>
      <c r="J14" s="6" t="str">
        <f>IF(Janvier[[#This Row],[Qui]]="Chef de projet","35",IF(Janvier[[#This Row],[Qui]]="Ingénieur Electronique","32",IF(Janvier[[#This Row],[Qui]]="Ingénieur qualité","36",IF(Janvier[[#This Row],[Qui]]="Ingénieur Développement",30,IF(Janvier[[#This Row],[Qui]]="Ingénieur Mécanique",34,"")))))</f>
        <v>35</v>
      </c>
      <c r="K14" s="6">
        <f>Janvier[[#This Row],[Charge Initiale (h)]]*Janvier[[#This Row],[Prix de Revient Unitaire (€)]]</f>
        <v>140</v>
      </c>
      <c r="L14" s="6">
        <f>Janvier[[#This Row],[Charge Révisée (h)]]*Janvier[[#This Row],[Prix de Revient Unitaire (€)]]</f>
        <v>140</v>
      </c>
      <c r="M14" s="6">
        <f>Janvier[[#This Row],[Prix de Revient Unitaire (€)]]*Janvier[[#This Row],[Temps Passé Cumul (h)]]</f>
        <v>0</v>
      </c>
      <c r="N14" s="13" t="s">
        <v>29</v>
      </c>
    </row>
    <row r="15" spans="1:14" x14ac:dyDescent="0.45">
      <c r="A15" s="29" t="s">
        <v>22</v>
      </c>
      <c r="B15" s="30" t="s">
        <v>43</v>
      </c>
      <c r="C15" s="31" t="s">
        <v>11</v>
      </c>
      <c r="D15" s="32">
        <v>20</v>
      </c>
      <c r="E15" s="32">
        <v>0</v>
      </c>
      <c r="F15" s="32">
        <f>Janvier[[#This Row],[Temps Passé Période (h)]]+Décembre[[#This Row],[Temps Passé Cumul (h)]]</f>
        <v>0</v>
      </c>
      <c r="G15" s="32">
        <f>MAX(Janvier[[#This Row],[Charge Initiale (h)]]-Janvier[[#This Row],[Temps Passé Cumul (h)]], 0)</f>
        <v>20</v>
      </c>
      <c r="H15" s="32">
        <f>Janvier[[#This Row],[Temps Passé Cumul (h)]]+Janvier[[#This Row],[Reste à Passer (h)]]</f>
        <v>20</v>
      </c>
      <c r="I15" s="32">
        <f>Janvier[[#This Row],[Charge Initiale (h)]]-Janvier[[#This Row],[Charge Révisée (h)]]</f>
        <v>0</v>
      </c>
      <c r="J15" s="32" t="str">
        <f>IF(Janvier[[#This Row],[Qui]]="Chef de projet","35",IF(Janvier[[#This Row],[Qui]]="Ingénieur Electronique","32",IF(Janvier[[#This Row],[Qui]]="Ingénieur qualité","36",IF(Janvier[[#This Row],[Qui]]="Ingénieur Développement",30,IF(Janvier[[#This Row],[Qui]]="Ingénieur Mécanique",34,"")))))</f>
        <v>35</v>
      </c>
      <c r="K15" s="32">
        <f>Janvier[[#This Row],[Charge Initiale (h)]]*Janvier[[#This Row],[Prix de Revient Unitaire (€)]]</f>
        <v>700</v>
      </c>
      <c r="L15" s="32">
        <f>Janvier[[#This Row],[Charge Révisée (h)]]*Janvier[[#This Row],[Prix de Revient Unitaire (€)]]</f>
        <v>700</v>
      </c>
      <c r="M15" s="32">
        <f>Janvier[[#This Row],[Prix de Revient Unitaire (€)]]*Janvier[[#This Row],[Temps Passé Cumul (h)]]</f>
        <v>0</v>
      </c>
      <c r="N15" s="33" t="s">
        <v>29</v>
      </c>
    </row>
    <row r="16" spans="1:14" x14ac:dyDescent="0.45">
      <c r="A16" s="34" t="s">
        <v>23</v>
      </c>
      <c r="B16" s="35" t="s">
        <v>44</v>
      </c>
      <c r="C16" s="36" t="s">
        <v>11</v>
      </c>
      <c r="D16" s="37">
        <v>6</v>
      </c>
      <c r="E16" s="37">
        <v>0</v>
      </c>
      <c r="F16" s="37">
        <f>Janvier[[#This Row],[Temps Passé Période (h)]]+Décembre[[#This Row],[Temps Passé Cumul (h)]]</f>
        <v>0</v>
      </c>
      <c r="G16" s="37">
        <f>MAX(Janvier[[#This Row],[Charge Initiale (h)]]-Janvier[[#This Row],[Temps Passé Cumul (h)]], 0)</f>
        <v>6</v>
      </c>
      <c r="H16" s="37">
        <f>Janvier[[#This Row],[Temps Passé Cumul (h)]]+Janvier[[#This Row],[Reste à Passer (h)]]</f>
        <v>6</v>
      </c>
      <c r="I16" s="37">
        <f>Janvier[[#This Row],[Charge Initiale (h)]]-Janvier[[#This Row],[Charge Révisée (h)]]</f>
        <v>0</v>
      </c>
      <c r="J16" s="37" t="str">
        <f>IF(Janvier[[#This Row],[Qui]]="Chef de projet","35",IF(Janvier[[#This Row],[Qui]]="Ingénieur Electronique","32",IF(Janvier[[#This Row],[Qui]]="Ingénieur qualité","36",IF(Janvier[[#This Row],[Qui]]="Ingénieur Développement",30,IF(Janvier[[#This Row],[Qui]]="Ingénieur Mécanique",34,"")))))</f>
        <v>35</v>
      </c>
      <c r="K16" s="37">
        <f>Janvier[[#This Row],[Charge Initiale (h)]]*Janvier[[#This Row],[Prix de Revient Unitaire (€)]]</f>
        <v>210</v>
      </c>
      <c r="L16" s="37">
        <f>Janvier[[#This Row],[Charge Révisée (h)]]*Janvier[[#This Row],[Prix de Revient Unitaire (€)]]</f>
        <v>210</v>
      </c>
      <c r="M16" s="37">
        <f>Janvier[[#This Row],[Prix de Revient Unitaire (€)]]*Janvier[[#This Row],[Temps Passé Cumul (h)]]</f>
        <v>0</v>
      </c>
      <c r="N16" s="38" t="s">
        <v>29</v>
      </c>
    </row>
    <row r="17" spans="1:14" x14ac:dyDescent="0.45">
      <c r="A17" s="39" t="s">
        <v>24</v>
      </c>
      <c r="B17" s="40" t="s">
        <v>45</v>
      </c>
      <c r="C17" s="41" t="s">
        <v>11</v>
      </c>
      <c r="D17" s="42">
        <v>4</v>
      </c>
      <c r="E17" s="42">
        <v>0</v>
      </c>
      <c r="F17" s="42">
        <f>Janvier[[#This Row],[Temps Passé Période (h)]]+Décembre[[#This Row],[Temps Passé Cumul (h)]]</f>
        <v>0</v>
      </c>
      <c r="G17" s="42">
        <f>MAX(Janvier[[#This Row],[Charge Initiale (h)]]-Janvier[[#This Row],[Temps Passé Cumul (h)]], 0)</f>
        <v>4</v>
      </c>
      <c r="H17" s="42">
        <f>Janvier[[#This Row],[Temps Passé Cumul (h)]]+Janvier[[#This Row],[Reste à Passer (h)]]</f>
        <v>4</v>
      </c>
      <c r="I17" s="42">
        <f>Janvier[[#This Row],[Charge Initiale (h)]]-Janvier[[#This Row],[Charge Révisée (h)]]</f>
        <v>0</v>
      </c>
      <c r="J17" s="42" t="str">
        <f>IF(Janvier[[#This Row],[Qui]]="Chef de projet","35",IF(Janvier[[#This Row],[Qui]]="Ingénieur Electronique","32",IF(Janvier[[#This Row],[Qui]]="Ingénieur qualité","36",IF(Janvier[[#This Row],[Qui]]="Ingénieur Développement",30,IF(Janvier[[#This Row],[Qui]]="Ingénieur Mécanique",34,"")))))</f>
        <v>35</v>
      </c>
      <c r="K17" s="42">
        <f>Janvier[[#This Row],[Charge Initiale (h)]]*Janvier[[#This Row],[Prix de Revient Unitaire (€)]]</f>
        <v>140</v>
      </c>
      <c r="L17" s="42">
        <f>Janvier[[#This Row],[Charge Révisée (h)]]*Janvier[[#This Row],[Prix de Revient Unitaire (€)]]</f>
        <v>140</v>
      </c>
      <c r="M17" s="42">
        <f>Janvier[[#This Row],[Prix de Revient Unitaire (€)]]*Janvier[[#This Row],[Temps Passé Cumul (h)]]</f>
        <v>0</v>
      </c>
      <c r="N17" s="43" t="s">
        <v>29</v>
      </c>
    </row>
    <row r="18" spans="1:14" x14ac:dyDescent="0.45">
      <c r="A18" s="72" t="s">
        <v>30</v>
      </c>
      <c r="B18" s="44" t="s">
        <v>46</v>
      </c>
      <c r="C18" s="44" t="s">
        <v>11</v>
      </c>
      <c r="D18" s="45">
        <v>3</v>
      </c>
      <c r="E18" s="45">
        <v>0</v>
      </c>
      <c r="F18" s="45">
        <f>Janvier[[#This Row],[Temps Passé Période (h)]]+Décembre[[#This Row],[Temps Passé Cumul (h)]]</f>
        <v>0</v>
      </c>
      <c r="G18" s="45">
        <f>MAX(Janvier[[#This Row],[Charge Initiale (h)]]-Janvier[[#This Row],[Temps Passé Cumul (h)]], 0)</f>
        <v>3</v>
      </c>
      <c r="H18" s="45">
        <f>Janvier[[#This Row],[Temps Passé Cumul (h)]]+Janvier[[#This Row],[Reste à Passer (h)]]</f>
        <v>3</v>
      </c>
      <c r="I18" s="45">
        <f>Janvier[[#This Row],[Charge Initiale (h)]]-Janvier[[#This Row],[Charge Révisée (h)]]</f>
        <v>0</v>
      </c>
      <c r="J18" s="45" t="str">
        <f>IF(Janvier[[#This Row],[Qui]]="Chef de projet","35",IF(Janvier[[#This Row],[Qui]]="Ingénieur Electronique","32",IF(Janvier[[#This Row],[Qui]]="Ingénieur qualité","36",IF(Janvier[[#This Row],[Qui]]="Ingénieur Développement",30,IF(Janvier[[#This Row],[Qui]]="Ingénieur Mécanique",34,"")))))</f>
        <v>35</v>
      </c>
      <c r="K18" s="45">
        <f>Janvier[[#This Row],[Charge Initiale (h)]]*Janvier[[#This Row],[Prix de Revient Unitaire (€)]]</f>
        <v>105</v>
      </c>
      <c r="L18" s="45">
        <f>Janvier[[#This Row],[Charge Révisée (h)]]*Janvier[[#This Row],[Prix de Revient Unitaire (€)]]</f>
        <v>105</v>
      </c>
      <c r="M18" s="45">
        <f>Janvier[[#This Row],[Prix de Revient Unitaire (€)]]*Janvier[[#This Row],[Temps Passé Cumul (h)]]</f>
        <v>0</v>
      </c>
      <c r="N18" s="46" t="s">
        <v>29</v>
      </c>
    </row>
    <row r="19" spans="1:14" x14ac:dyDescent="0.45">
      <c r="A19" s="73"/>
      <c r="B19" s="44" t="s">
        <v>47</v>
      </c>
      <c r="C19" s="44" t="s">
        <v>11</v>
      </c>
      <c r="D19" s="45">
        <v>8</v>
      </c>
      <c r="E19" s="45">
        <v>0</v>
      </c>
      <c r="F19" s="45">
        <f>Janvier[[#This Row],[Temps Passé Période (h)]]+Décembre[[#This Row],[Temps Passé Cumul (h)]]</f>
        <v>0</v>
      </c>
      <c r="G19" s="45">
        <f>MAX(Janvier[[#This Row],[Charge Initiale (h)]]-Janvier[[#This Row],[Temps Passé Cumul (h)]], 0)</f>
        <v>8</v>
      </c>
      <c r="H19" s="45">
        <f>Janvier[[#This Row],[Temps Passé Cumul (h)]]+Janvier[[#This Row],[Reste à Passer (h)]]</f>
        <v>8</v>
      </c>
      <c r="I19" s="45">
        <f>Janvier[[#This Row],[Charge Initiale (h)]]-Janvier[[#This Row],[Charge Révisée (h)]]</f>
        <v>0</v>
      </c>
      <c r="J19" s="45" t="str">
        <f>IF(Janvier[[#This Row],[Qui]]="Chef de projet","35",IF(Janvier[[#This Row],[Qui]]="Ingénieur Electronique","32",IF(Janvier[[#This Row],[Qui]]="Ingénieur qualité","36",IF(Janvier[[#This Row],[Qui]]="Ingénieur Développement",30,IF(Janvier[[#This Row],[Qui]]="Ingénieur Mécanique",34,"")))))</f>
        <v>35</v>
      </c>
      <c r="K19" s="45">
        <f>Janvier[[#This Row],[Charge Initiale (h)]]*Janvier[[#This Row],[Prix de Revient Unitaire (€)]]</f>
        <v>280</v>
      </c>
      <c r="L19" s="45">
        <f>Janvier[[#This Row],[Charge Révisée (h)]]*Janvier[[#This Row],[Prix de Revient Unitaire (€)]]</f>
        <v>280</v>
      </c>
      <c r="M19" s="45">
        <f>Janvier[[#This Row],[Prix de Revient Unitaire (€)]]*Janvier[[#This Row],[Temps Passé Cumul (h)]]</f>
        <v>0</v>
      </c>
      <c r="N19" s="46" t="s">
        <v>29</v>
      </c>
    </row>
    <row r="20" spans="1:14" x14ac:dyDescent="0.45">
      <c r="A20" s="47" t="s">
        <v>31</v>
      </c>
      <c r="B20" s="48" t="s">
        <v>48</v>
      </c>
      <c r="C20" s="48" t="s">
        <v>11</v>
      </c>
      <c r="D20" s="49">
        <v>2</v>
      </c>
      <c r="E20" s="49">
        <v>0</v>
      </c>
      <c r="F20" s="49">
        <f>Janvier[[#This Row],[Temps Passé Période (h)]]+Décembre[[#This Row],[Temps Passé Cumul (h)]]</f>
        <v>0</v>
      </c>
      <c r="G20" s="49">
        <f>MAX(Janvier[[#This Row],[Charge Initiale (h)]]-Janvier[[#This Row],[Temps Passé Cumul (h)]], 0)</f>
        <v>2</v>
      </c>
      <c r="H20" s="49">
        <f>Janvier[[#This Row],[Temps Passé Cumul (h)]]+Janvier[[#This Row],[Reste à Passer (h)]]</f>
        <v>2</v>
      </c>
      <c r="I20" s="49">
        <f>Janvier[[#This Row],[Charge Initiale (h)]]-Janvier[[#This Row],[Charge Révisée (h)]]</f>
        <v>0</v>
      </c>
      <c r="J20" s="49" t="str">
        <f>IF(Janvier[[#This Row],[Qui]]="Chef de projet","35",IF(Janvier[[#This Row],[Qui]]="Ingénieur Electronique","32",IF(Janvier[[#This Row],[Qui]]="Ingénieur qualité","36",IF(Janvier[[#This Row],[Qui]]="Ingénieur Développement",30,IF(Janvier[[#This Row],[Qui]]="Ingénieur Mécanique",34,"")))))</f>
        <v>35</v>
      </c>
      <c r="K20" s="49">
        <f>Janvier[[#This Row],[Charge Initiale (h)]]*Janvier[[#This Row],[Prix de Revient Unitaire (€)]]</f>
        <v>70</v>
      </c>
      <c r="L20" s="49">
        <f>Janvier[[#This Row],[Charge Révisée (h)]]*Janvier[[#This Row],[Prix de Revient Unitaire (€)]]</f>
        <v>70</v>
      </c>
      <c r="M20" s="49">
        <f>Janvier[[#This Row],[Prix de Revient Unitaire (€)]]*Janvier[[#This Row],[Temps Passé Cumul (h)]]</f>
        <v>0</v>
      </c>
      <c r="N20" s="50" t="s">
        <v>29</v>
      </c>
    </row>
    <row r="21" spans="1:14" ht="14.65" thickBot="1" x14ac:dyDescent="0.5">
      <c r="A21" s="14"/>
      <c r="B21" s="15" t="s">
        <v>13</v>
      </c>
      <c r="C21" s="15"/>
      <c r="D21" s="15">
        <f>SUBTOTAL(109,Janvier[Charge Initiale (h)])</f>
        <v>94</v>
      </c>
      <c r="E21" s="15">
        <f>SUBTOTAL(109,Janvier[Temps Passé Période (h)])</f>
        <v>0</v>
      </c>
      <c r="F21" s="15">
        <f>SUBTOTAL(109,Janvier[Temps Passé Cumul (h)])</f>
        <v>30</v>
      </c>
      <c r="G21" s="15">
        <f>SUBTOTAL(109,Janvier[Reste à Passer (h)])</f>
        <v>67</v>
      </c>
      <c r="H21" s="15">
        <f>SUBTOTAL(109,Janvier[Charge Révisée (h)])</f>
        <v>97</v>
      </c>
      <c r="I21" s="15">
        <f>SUBTOTAL(109,Janvier[Écart de Charge (h)])</f>
        <v>-3</v>
      </c>
      <c r="J21" s="15">
        <f>SUBTOTAL(109,Janvier[Prix de Revient Unitaire (€)])</f>
        <v>0</v>
      </c>
      <c r="K21" s="15">
        <f>SUBTOTAL(109,Janvier[Coût Initial (€)])</f>
        <v>3290</v>
      </c>
      <c r="L21" s="16">
        <f>SUBTOTAL(109,Janvier[Coût Révisé (€)])</f>
        <v>3395</v>
      </c>
      <c r="M21" s="15">
        <f>SUBTOTAL(109,Janvier[Coût Réel (€)])</f>
        <v>1050</v>
      </c>
      <c r="N21" s="17"/>
    </row>
    <row r="22" spans="1:14" x14ac:dyDescent="0.4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4" x14ac:dyDescent="0.45">
      <c r="B23" s="3" t="s">
        <v>15</v>
      </c>
      <c r="C23" s="3" t="s">
        <v>26</v>
      </c>
      <c r="M23" s="2" t="s">
        <v>27</v>
      </c>
    </row>
    <row r="24" spans="1:14" x14ac:dyDescent="0.45">
      <c r="B24" s="2" t="s">
        <v>16</v>
      </c>
      <c r="C24" s="2">
        <v>115</v>
      </c>
      <c r="M24" s="2" t="s">
        <v>28</v>
      </c>
    </row>
    <row r="25" spans="1:14" x14ac:dyDescent="0.45">
      <c r="B25" s="2" t="s">
        <v>13</v>
      </c>
      <c r="C25" s="2">
        <f>SUM(C24:C24)</f>
        <v>115</v>
      </c>
      <c r="M25" s="2" t="s">
        <v>29</v>
      </c>
    </row>
  </sheetData>
  <autoFilter ref="N1:N20" xr:uid="{F8CC098C-0658-4652-835D-494028FEA0CD}"/>
  <mergeCells count="5">
    <mergeCell ref="A2:A5"/>
    <mergeCell ref="A6:A9"/>
    <mergeCell ref="A10:A12"/>
    <mergeCell ref="A18:A19"/>
    <mergeCell ref="A13:A14"/>
  </mergeCells>
  <dataValidations disablePrompts="1" count="2">
    <dataValidation type="list" allowBlank="1" showInputMessage="1" showErrorMessage="1" sqref="C2:C20" xr:uid="{43264814-AE9C-4A99-8AAB-673B68B5D6D9}">
      <formula1>$B$24:$B$24</formula1>
    </dataValidation>
    <dataValidation type="list" allowBlank="1" showInputMessage="1" showErrorMessage="1" sqref="N2:N20" xr:uid="{17EEF620-7361-4DDC-990D-BCE790995FF8}">
      <formula1>$M$24:$M$25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1" orientation="landscape" r:id="rId1"/>
  <headerFooter>
    <oddHeader>&amp;A</oddHeader>
  </headerFooter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FFC15-99E8-48F3-A9AF-0EED6F776D6C}">
  <sheetPr>
    <pageSetUpPr fitToPage="1"/>
  </sheetPr>
  <dimension ref="A1:N25"/>
  <sheetViews>
    <sheetView zoomScale="65" zoomScaleNormal="65" workbookViewId="0">
      <selection activeCell="N1" sqref="N1"/>
    </sheetView>
  </sheetViews>
  <sheetFormatPr baseColWidth="10" defaultColWidth="8.53125" defaultRowHeight="14.25" x14ac:dyDescent="0.45"/>
  <cols>
    <col min="1" max="1" width="17.796875" bestFit="1" customWidth="1"/>
    <col min="2" max="2" width="39.06640625" bestFit="1" customWidth="1"/>
    <col min="3" max="3" width="14.86328125" bestFit="1" customWidth="1"/>
    <col min="4" max="4" width="18.73046875" bestFit="1" customWidth="1"/>
    <col min="5" max="5" width="24.19921875" bestFit="1" customWidth="1"/>
    <col min="6" max="6" width="22.9296875" bestFit="1" customWidth="1"/>
    <col min="7" max="7" width="18.73046875" bestFit="1" customWidth="1"/>
    <col min="8" max="8" width="19.46484375" bestFit="1" customWidth="1"/>
    <col min="9" max="9" width="19.53125" bestFit="1" customWidth="1"/>
    <col min="10" max="10" width="26.59765625" bestFit="1" customWidth="1"/>
    <col min="11" max="11" width="15.86328125" bestFit="1" customWidth="1"/>
    <col min="12" max="12" width="16.59765625" bestFit="1" customWidth="1"/>
    <col min="13" max="13" width="14.86328125" bestFit="1" customWidth="1"/>
    <col min="14" max="14" width="9.19921875" bestFit="1" customWidth="1"/>
  </cols>
  <sheetData>
    <row r="1" spans="1:14" x14ac:dyDescent="0.45">
      <c r="A1" s="8" t="s">
        <v>18</v>
      </c>
      <c r="B1" s="9" t="s">
        <v>6</v>
      </c>
      <c r="C1" s="9" t="s">
        <v>7</v>
      </c>
      <c r="D1" s="9" t="s">
        <v>51</v>
      </c>
      <c r="E1" s="9" t="s">
        <v>52</v>
      </c>
      <c r="F1" s="9" t="s">
        <v>53</v>
      </c>
      <c r="G1" s="9" t="s">
        <v>54</v>
      </c>
      <c r="H1" s="9" t="s">
        <v>55</v>
      </c>
      <c r="I1" s="9" t="s">
        <v>56</v>
      </c>
      <c r="J1" s="9" t="s">
        <v>57</v>
      </c>
      <c r="K1" s="10" t="s">
        <v>8</v>
      </c>
      <c r="L1" s="10" t="s">
        <v>9</v>
      </c>
      <c r="M1" s="10" t="s">
        <v>50</v>
      </c>
      <c r="N1" s="11" t="s">
        <v>25</v>
      </c>
    </row>
    <row r="2" spans="1:14" x14ac:dyDescent="0.45">
      <c r="A2" s="76" t="s">
        <v>19</v>
      </c>
      <c r="B2" s="20" t="s">
        <v>32</v>
      </c>
      <c r="C2" s="21" t="s">
        <v>11</v>
      </c>
      <c r="D2" s="22">
        <v>5</v>
      </c>
      <c r="E2" s="22">
        <v>0</v>
      </c>
      <c r="F2" s="22">
        <f>Février[[#This Row],[Temps Passé Période (h)]]+Janvier[[#This Row],[Temps Passé Cumul (h)]]</f>
        <v>7</v>
      </c>
      <c r="G2" s="22">
        <f>MAX(Février[[#This Row],[Charge Initiale (h)]]-Février[[#This Row],[Temps Passé Cumul (h)]], 0)</f>
        <v>0</v>
      </c>
      <c r="H2" s="22">
        <f>Février[[#This Row],[Temps Passé Cumul (h)]]+Février[[#This Row],[Reste à Passer (h)]]</f>
        <v>7</v>
      </c>
      <c r="I2" s="22">
        <f>Février[[#This Row],[Charge Initiale (h)]]-Février[[#This Row],[Charge Révisée (h)]]</f>
        <v>-2</v>
      </c>
      <c r="J2" s="22" t="str">
        <f>IF(Février[[#This Row],[Qui]]="Chef de projet","35",IF(Février[[#This Row],[Qui]]="Ingénieur Electronique","32",IF(Février[[#This Row],[Qui]]="Ingénieur qualité","36",IF(Février[[#This Row],[Qui]]="Ingénieur Développement",30,IF(Février[[#This Row],[Qui]]="Ingénieur Mécanique",34,"")))))</f>
        <v>35</v>
      </c>
      <c r="K2" s="22">
        <f>Février[[#This Row],[Charge Initiale (h)]]*Février[[#This Row],[Prix de Revient Unitaire (€)]]</f>
        <v>175</v>
      </c>
      <c r="L2" s="22">
        <f>Février[[#This Row],[Charge Révisée (h)]]*Février[[#This Row],[Prix de Revient Unitaire (€)]]</f>
        <v>245</v>
      </c>
      <c r="M2" s="22">
        <f>Février[[#This Row],[Prix de Revient Unitaire (€)]]*Février[[#This Row],[Temps Passé Cumul (h)]]</f>
        <v>245</v>
      </c>
      <c r="N2" s="23" t="s">
        <v>28</v>
      </c>
    </row>
    <row r="3" spans="1:14" x14ac:dyDescent="0.45">
      <c r="A3" s="77"/>
      <c r="B3" s="20" t="s">
        <v>33</v>
      </c>
      <c r="C3" s="21" t="s">
        <v>11</v>
      </c>
      <c r="D3" s="22">
        <v>5</v>
      </c>
      <c r="E3" s="22">
        <v>0</v>
      </c>
      <c r="F3" s="22">
        <f>Février[[#This Row],[Temps Passé Période (h)]]+Janvier[[#This Row],[Temps Passé Cumul (h)]]</f>
        <v>4</v>
      </c>
      <c r="G3" s="22">
        <f>MAX(Février[[#This Row],[Charge Initiale (h)]]-Février[[#This Row],[Temps Passé Cumul (h)]], 0)</f>
        <v>1</v>
      </c>
      <c r="H3" s="22">
        <f>Février[[#This Row],[Temps Passé Cumul (h)]]+Février[[#This Row],[Reste à Passer (h)]]</f>
        <v>5</v>
      </c>
      <c r="I3" s="22">
        <f>Février[[#This Row],[Charge Initiale (h)]]-Février[[#This Row],[Charge Révisée (h)]]</f>
        <v>0</v>
      </c>
      <c r="J3" s="22" t="str">
        <f>IF(Février[[#This Row],[Qui]]="Chef de projet","35",IF(Février[[#This Row],[Qui]]="Ingénieur Electronique","32",IF(Février[[#This Row],[Qui]]="Ingénieur qualité","36",IF(Février[[#This Row],[Qui]]="Ingénieur Développement",30,IF(Février[[#This Row],[Qui]]="Ingénieur Mécanique",34,"")))))</f>
        <v>35</v>
      </c>
      <c r="K3" s="22">
        <f>Février[[#This Row],[Charge Initiale (h)]]*Février[[#This Row],[Prix de Revient Unitaire (€)]]</f>
        <v>175</v>
      </c>
      <c r="L3" s="22">
        <f>Février[[#This Row],[Charge Révisée (h)]]*Février[[#This Row],[Prix de Revient Unitaire (€)]]</f>
        <v>175</v>
      </c>
      <c r="M3" s="22">
        <f>Février[[#This Row],[Prix de Revient Unitaire (€)]]*Février[[#This Row],[Temps Passé Cumul (h)]]</f>
        <v>140</v>
      </c>
      <c r="N3" s="23" t="s">
        <v>29</v>
      </c>
    </row>
    <row r="4" spans="1:14" x14ac:dyDescent="0.45">
      <c r="A4" s="77"/>
      <c r="B4" s="20" t="s">
        <v>34</v>
      </c>
      <c r="C4" s="21" t="s">
        <v>11</v>
      </c>
      <c r="D4" s="22">
        <v>2</v>
      </c>
      <c r="E4" s="22">
        <v>0</v>
      </c>
      <c r="F4" s="22">
        <f>Février[[#This Row],[Temps Passé Période (h)]]+Janvier[[#This Row],[Temps Passé Cumul (h)]]</f>
        <v>3</v>
      </c>
      <c r="G4" s="22">
        <f>MAX(Février[[#This Row],[Charge Initiale (h)]]-Février[[#This Row],[Temps Passé Cumul (h)]], 0)</f>
        <v>0</v>
      </c>
      <c r="H4" s="22">
        <f>Février[[#This Row],[Temps Passé Cumul (h)]]+Février[[#This Row],[Reste à Passer (h)]]</f>
        <v>3</v>
      </c>
      <c r="I4" s="22">
        <f>Février[[#This Row],[Charge Initiale (h)]]-Février[[#This Row],[Charge Révisée (h)]]</f>
        <v>-1</v>
      </c>
      <c r="J4" s="24" t="str">
        <f>IF(Février[[#This Row],[Qui]]="Chef de projet","35",IF(Février[[#This Row],[Qui]]="Ingénieur Electronique","32",IF(Février[[#This Row],[Qui]]="Ingénieur qualité","36",IF(Février[[#This Row],[Qui]]="Ingénieur Développement",30,IF(Février[[#This Row],[Qui]]="Ingénieur Mécanique",34,"")))))</f>
        <v>35</v>
      </c>
      <c r="K4" s="22">
        <f>Février[[#This Row],[Charge Initiale (h)]]*Février[[#This Row],[Prix de Revient Unitaire (€)]]</f>
        <v>70</v>
      </c>
      <c r="L4" s="22">
        <f>Février[[#This Row],[Charge Révisée (h)]]*Février[[#This Row],[Prix de Revient Unitaire (€)]]</f>
        <v>105</v>
      </c>
      <c r="M4" s="22">
        <f>Février[[#This Row],[Prix de Revient Unitaire (€)]]*Février[[#This Row],[Temps Passé Cumul (h)]]</f>
        <v>105</v>
      </c>
      <c r="N4" s="23" t="s">
        <v>28</v>
      </c>
    </row>
    <row r="5" spans="1:14" x14ac:dyDescent="0.45">
      <c r="A5" s="78"/>
      <c r="B5" s="20" t="s">
        <v>35</v>
      </c>
      <c r="C5" s="21" t="s">
        <v>11</v>
      </c>
      <c r="D5" s="22">
        <v>2</v>
      </c>
      <c r="E5" s="22">
        <v>0</v>
      </c>
      <c r="F5" s="22">
        <f>Février[[#This Row],[Temps Passé Période (h)]]+Janvier[[#This Row],[Temps Passé Cumul (h)]]</f>
        <v>2</v>
      </c>
      <c r="G5" s="22">
        <f>MAX(Février[[#This Row],[Charge Initiale (h)]]-Février[[#This Row],[Temps Passé Cumul (h)]], 0)</f>
        <v>0</v>
      </c>
      <c r="H5" s="22">
        <f>Février[[#This Row],[Temps Passé Cumul (h)]]+Février[[#This Row],[Reste à Passer (h)]]</f>
        <v>2</v>
      </c>
      <c r="I5" s="22">
        <f>Février[[#This Row],[Charge Initiale (h)]]-Février[[#This Row],[Charge Révisée (h)]]</f>
        <v>0</v>
      </c>
      <c r="J5" s="24" t="str">
        <f>IF(Février[[#This Row],[Qui]]="Chef de projet","35",IF(Février[[#This Row],[Qui]]="Ingénieur Electronique","32",IF(Février[[#This Row],[Qui]]="Ingénieur qualité","36",IF(Février[[#This Row],[Qui]]="Ingénieur Développement",30,IF(Février[[#This Row],[Qui]]="Ingénieur Mécanique",34,"")))))</f>
        <v>35</v>
      </c>
      <c r="K5" s="22">
        <f>Février[[#This Row],[Charge Initiale (h)]]*Février[[#This Row],[Prix de Revient Unitaire (€)]]</f>
        <v>70</v>
      </c>
      <c r="L5" s="22">
        <f>Février[[#This Row],[Charge Révisée (h)]]*Février[[#This Row],[Prix de Revient Unitaire (€)]]</f>
        <v>70</v>
      </c>
      <c r="M5" s="22">
        <f>Février[[#This Row],[Prix de Revient Unitaire (€)]]*Février[[#This Row],[Temps Passé Cumul (h)]]</f>
        <v>70</v>
      </c>
      <c r="N5" s="23" t="s">
        <v>29</v>
      </c>
    </row>
    <row r="6" spans="1:14" x14ac:dyDescent="0.45">
      <c r="A6" s="79" t="s">
        <v>12</v>
      </c>
      <c r="B6" s="5" t="s">
        <v>17</v>
      </c>
      <c r="C6" s="18" t="s">
        <v>11</v>
      </c>
      <c r="D6" s="4">
        <v>8</v>
      </c>
      <c r="E6" s="4">
        <v>0</v>
      </c>
      <c r="F6" s="4">
        <f>Février[[#This Row],[Temps Passé Période (h)]]+Janvier[[#This Row],[Temps Passé Cumul (h)]]</f>
        <v>8</v>
      </c>
      <c r="G6" s="4">
        <f>MAX(Février[[#This Row],[Charge Initiale (h)]]-Février[[#This Row],[Temps Passé Cumul (h)]], 0)</f>
        <v>0</v>
      </c>
      <c r="H6" s="4">
        <f>Février[[#This Row],[Temps Passé Cumul (h)]]+Février[[#This Row],[Reste à Passer (h)]]</f>
        <v>8</v>
      </c>
      <c r="I6" s="4">
        <f>Février[[#This Row],[Charge Initiale (h)]]-Février[[#This Row],[Charge Révisée (h)]]</f>
        <v>0</v>
      </c>
      <c r="J6" s="4" t="str">
        <f>IF(Février[[#This Row],[Qui]]="Chef de projet","35",IF(Février[[#This Row],[Qui]]="Ingénieur Electronique","32",IF(Février[[#This Row],[Qui]]="Ingénieur qualité","36",IF(Février[[#This Row],[Qui]]="Ingénieur Développement",30,IF(Février[[#This Row],[Qui]]="Ingénieur Mécanique",34,"")))))</f>
        <v>35</v>
      </c>
      <c r="K6" s="4">
        <f>Février[[#This Row],[Charge Initiale (h)]]*Février[[#This Row],[Prix de Revient Unitaire (€)]]</f>
        <v>280</v>
      </c>
      <c r="L6" s="4">
        <f>Février[[#This Row],[Charge Révisée (h)]]*Février[[#This Row],[Prix de Revient Unitaire (€)]]</f>
        <v>280</v>
      </c>
      <c r="M6" s="4">
        <f>Février[[#This Row],[Prix de Revient Unitaire (€)]]*Février[[#This Row],[Temps Passé Cumul (h)]]</f>
        <v>280</v>
      </c>
      <c r="N6" s="12" t="s">
        <v>29</v>
      </c>
    </row>
    <row r="7" spans="1:14" x14ac:dyDescent="0.45">
      <c r="A7" s="80"/>
      <c r="B7" s="5" t="s">
        <v>36</v>
      </c>
      <c r="C7" s="18" t="s">
        <v>11</v>
      </c>
      <c r="D7" s="4">
        <v>3</v>
      </c>
      <c r="E7" s="4">
        <v>0</v>
      </c>
      <c r="F7" s="4">
        <f>Février[[#This Row],[Temps Passé Période (h)]]+Janvier[[#This Row],[Temps Passé Cumul (h)]]</f>
        <v>3</v>
      </c>
      <c r="G7" s="4">
        <f>MAX(Février[[#This Row],[Charge Initiale (h)]]-Février[[#This Row],[Temps Passé Cumul (h)]], 0)</f>
        <v>0</v>
      </c>
      <c r="H7" s="4">
        <f>Février[[#This Row],[Temps Passé Cumul (h)]]+Février[[#This Row],[Reste à Passer (h)]]</f>
        <v>3</v>
      </c>
      <c r="I7" s="4">
        <f>Février[[#This Row],[Charge Initiale (h)]]-Février[[#This Row],[Charge Révisée (h)]]</f>
        <v>0</v>
      </c>
      <c r="J7" s="4" t="str">
        <f>IF(Février[[#This Row],[Qui]]="Chef de projet","35",IF(Février[[#This Row],[Qui]]="Ingénieur Electronique","32",IF(Février[[#This Row],[Qui]]="Ingénieur qualité","36",IF(Février[[#This Row],[Qui]]="Ingénieur Développement",30,IF(Février[[#This Row],[Qui]]="Ingénieur Mécanique",34,"")))))</f>
        <v>35</v>
      </c>
      <c r="K7" s="4">
        <f>Février[[#This Row],[Charge Initiale (h)]]*Février[[#This Row],[Prix de Revient Unitaire (€)]]</f>
        <v>105</v>
      </c>
      <c r="L7" s="4">
        <f>Février[[#This Row],[Charge Révisée (h)]]*Février[[#This Row],[Prix de Revient Unitaire (€)]]</f>
        <v>105</v>
      </c>
      <c r="M7" s="4">
        <f>Février[[#This Row],[Prix de Revient Unitaire (€)]]*Février[[#This Row],[Temps Passé Cumul (h)]]</f>
        <v>105</v>
      </c>
      <c r="N7" s="12" t="s">
        <v>29</v>
      </c>
    </row>
    <row r="8" spans="1:14" x14ac:dyDescent="0.45">
      <c r="A8" s="80"/>
      <c r="B8" s="5" t="s">
        <v>37</v>
      </c>
      <c r="C8" s="18" t="s">
        <v>11</v>
      </c>
      <c r="D8" s="4">
        <v>3</v>
      </c>
      <c r="E8" s="4">
        <v>0</v>
      </c>
      <c r="F8" s="4">
        <f>Février[[#This Row],[Temps Passé Période (h)]]+Janvier[[#This Row],[Temps Passé Cumul (h)]]</f>
        <v>3</v>
      </c>
      <c r="G8" s="4">
        <f>MAX(Février[[#This Row],[Charge Initiale (h)]]-Février[[#This Row],[Temps Passé Cumul (h)]], 0)</f>
        <v>0</v>
      </c>
      <c r="H8" s="4">
        <f>Février[[#This Row],[Temps Passé Cumul (h)]]+Février[[#This Row],[Reste à Passer (h)]]</f>
        <v>3</v>
      </c>
      <c r="I8" s="4">
        <f>Février[[#This Row],[Charge Initiale (h)]]-Février[[#This Row],[Charge Révisée (h)]]</f>
        <v>0</v>
      </c>
      <c r="J8" s="4" t="str">
        <f>IF(Février[[#This Row],[Qui]]="Chef de projet","35",IF(Février[[#This Row],[Qui]]="Ingénieur Electronique","32",IF(Février[[#This Row],[Qui]]="Ingénieur qualité","36",IF(Février[[#This Row],[Qui]]="Ingénieur Développement",30,IF(Février[[#This Row],[Qui]]="Ingénieur Mécanique",34,"")))))</f>
        <v>35</v>
      </c>
      <c r="K8" s="4">
        <f>Février[[#This Row],[Charge Initiale (h)]]*Février[[#This Row],[Prix de Revient Unitaire (€)]]</f>
        <v>105</v>
      </c>
      <c r="L8" s="4">
        <f>Février[[#This Row],[Charge Révisée (h)]]*Février[[#This Row],[Prix de Revient Unitaire (€)]]</f>
        <v>105</v>
      </c>
      <c r="M8" s="4">
        <f>Février[[#This Row],[Prix de Revient Unitaire (€)]]*Février[[#This Row],[Temps Passé Cumul (h)]]</f>
        <v>105</v>
      </c>
      <c r="N8" s="12" t="s">
        <v>29</v>
      </c>
    </row>
    <row r="9" spans="1:14" x14ac:dyDescent="0.45">
      <c r="A9" s="81"/>
      <c r="B9" s="5" t="s">
        <v>38</v>
      </c>
      <c r="C9" s="18" t="s">
        <v>11</v>
      </c>
      <c r="D9" s="4">
        <v>1.5</v>
      </c>
      <c r="E9" s="4">
        <v>0</v>
      </c>
      <c r="F9" s="4">
        <f>Février[[#This Row],[Temps Passé Période (h)]]+Janvier[[#This Row],[Temps Passé Cumul (h)]]</f>
        <v>0</v>
      </c>
      <c r="G9" s="4">
        <f>MAX(Février[[#This Row],[Charge Initiale (h)]]-Février[[#This Row],[Temps Passé Cumul (h)]], 0)</f>
        <v>1.5</v>
      </c>
      <c r="H9" s="4">
        <f>Février[[#This Row],[Temps Passé Cumul (h)]]+Février[[#This Row],[Reste à Passer (h)]]</f>
        <v>1.5</v>
      </c>
      <c r="I9" s="4">
        <f>Février[[#This Row],[Charge Initiale (h)]]-Février[[#This Row],[Charge Révisée (h)]]</f>
        <v>0</v>
      </c>
      <c r="J9" s="4" t="str">
        <f>IF(Février[[#This Row],[Qui]]="Chef de projet","35",IF(Février[[#This Row],[Qui]]="Ingénieur Electronique","32",IF(Février[[#This Row],[Qui]]="Ingénieur qualité","36",IF(Février[[#This Row],[Qui]]="Ingénieur Développement",30,IF(Février[[#This Row],[Qui]]="Ingénieur Mécanique",34,"")))))</f>
        <v>35</v>
      </c>
      <c r="K9" s="4">
        <f>Février[[#This Row],[Charge Initiale (h)]]*Février[[#This Row],[Prix de Revient Unitaire (€)]]</f>
        <v>52.5</v>
      </c>
      <c r="L9" s="4">
        <f>Février[[#This Row],[Charge Révisée (h)]]*Février[[#This Row],[Prix de Revient Unitaire (€)]]</f>
        <v>52.5</v>
      </c>
      <c r="M9" s="4">
        <f>Février[[#This Row],[Prix de Revient Unitaire (€)]]*Février[[#This Row],[Temps Passé Cumul (h)]]</f>
        <v>0</v>
      </c>
      <c r="N9" s="12" t="s">
        <v>29</v>
      </c>
    </row>
    <row r="10" spans="1:14" x14ac:dyDescent="0.45">
      <c r="A10" s="82" t="s">
        <v>20</v>
      </c>
      <c r="B10" s="25" t="s">
        <v>39</v>
      </c>
      <c r="C10" s="26" t="s">
        <v>11</v>
      </c>
      <c r="D10" s="27">
        <v>5.5</v>
      </c>
      <c r="E10" s="27">
        <v>0</v>
      </c>
      <c r="F10" s="27">
        <f>Février[[#This Row],[Temps Passé Période (h)]]+Janvier[[#This Row],[Temps Passé Cumul (h)]]</f>
        <v>0</v>
      </c>
      <c r="G10" s="27">
        <f>MAX(Février[[#This Row],[Charge Initiale (h)]]-Février[[#This Row],[Temps Passé Cumul (h)]], 0)</f>
        <v>5.5</v>
      </c>
      <c r="H10" s="27">
        <f>Février[[#This Row],[Temps Passé Cumul (h)]]+Février[[#This Row],[Reste à Passer (h)]]</f>
        <v>5.5</v>
      </c>
      <c r="I10" s="27">
        <f>Février[[#This Row],[Charge Initiale (h)]]-Février[[#This Row],[Charge Révisée (h)]]</f>
        <v>0</v>
      </c>
      <c r="J10" s="27" t="str">
        <f>IF(Février[[#This Row],[Qui]]="Chef de projet","35",IF(Février[[#This Row],[Qui]]="Ingénieur Electronique","32",IF(Février[[#This Row],[Qui]]="Ingénieur qualité","36",IF(Février[[#This Row],[Qui]]="Ingénieur Développement",30,IF(Février[[#This Row],[Qui]]="Ingénieur Mécanique",34,"")))))</f>
        <v>35</v>
      </c>
      <c r="K10" s="27">
        <f>Février[[#This Row],[Charge Initiale (h)]]*Février[[#This Row],[Prix de Revient Unitaire (€)]]</f>
        <v>192.5</v>
      </c>
      <c r="L10" s="27">
        <f>Février[[#This Row],[Charge Révisée (h)]]*Février[[#This Row],[Prix de Revient Unitaire (€)]]</f>
        <v>192.5</v>
      </c>
      <c r="M10" s="27">
        <f>Février[[#This Row],[Prix de Revient Unitaire (€)]]*Février[[#This Row],[Temps Passé Cumul (h)]]</f>
        <v>0</v>
      </c>
      <c r="N10" s="28" t="s">
        <v>29</v>
      </c>
    </row>
    <row r="11" spans="1:14" x14ac:dyDescent="0.45">
      <c r="A11" s="83"/>
      <c r="B11" s="25" t="s">
        <v>40</v>
      </c>
      <c r="C11" s="26" t="s">
        <v>11</v>
      </c>
      <c r="D11" s="27">
        <v>3</v>
      </c>
      <c r="E11" s="27">
        <v>0</v>
      </c>
      <c r="F11" s="27">
        <f>Février[[#This Row],[Temps Passé Période (h)]]+Janvier[[#This Row],[Temps Passé Cumul (h)]]</f>
        <v>0</v>
      </c>
      <c r="G11" s="27">
        <f>MAX(Février[[#This Row],[Charge Initiale (h)]]-Février[[#This Row],[Temps Passé Cumul (h)]], 0)</f>
        <v>3</v>
      </c>
      <c r="H11" s="27">
        <f>Février[[#This Row],[Temps Passé Cumul (h)]]+Février[[#This Row],[Reste à Passer (h)]]</f>
        <v>3</v>
      </c>
      <c r="I11" s="27">
        <f>Février[[#This Row],[Charge Initiale (h)]]-Février[[#This Row],[Charge Révisée (h)]]</f>
        <v>0</v>
      </c>
      <c r="J11" s="27" t="str">
        <f>IF(Février[[#This Row],[Qui]]="Chef de projet","35",IF(Février[[#This Row],[Qui]]="Ingénieur Electronique","32",IF(Février[[#This Row],[Qui]]="Ingénieur qualité","36",IF(Février[[#This Row],[Qui]]="Ingénieur Développement",30,IF(Février[[#This Row],[Qui]]="Ingénieur Mécanique",34,"")))))</f>
        <v>35</v>
      </c>
      <c r="K11" s="27">
        <f>Février[[#This Row],[Charge Initiale (h)]]*Février[[#This Row],[Prix de Revient Unitaire (€)]]</f>
        <v>105</v>
      </c>
      <c r="L11" s="27">
        <f>Février[[#This Row],[Charge Révisée (h)]]*Février[[#This Row],[Prix de Revient Unitaire (€)]]</f>
        <v>105</v>
      </c>
      <c r="M11" s="27">
        <f>Février[[#This Row],[Prix de Revient Unitaire (€)]]*Février[[#This Row],[Temps Passé Cumul (h)]]</f>
        <v>0</v>
      </c>
      <c r="N11" s="28" t="s">
        <v>29</v>
      </c>
    </row>
    <row r="12" spans="1:14" x14ac:dyDescent="0.45">
      <c r="A12" s="84"/>
      <c r="B12" s="25" t="s">
        <v>41</v>
      </c>
      <c r="C12" s="26" t="s">
        <v>11</v>
      </c>
      <c r="D12" s="27">
        <v>2</v>
      </c>
      <c r="E12" s="27">
        <v>0</v>
      </c>
      <c r="F12" s="27">
        <f>Février[[#This Row],[Temps Passé Période (h)]]+Janvier[[#This Row],[Temps Passé Cumul (h)]]</f>
        <v>0</v>
      </c>
      <c r="G12" s="27">
        <f>MAX(Février[[#This Row],[Charge Initiale (h)]]-Février[[#This Row],[Temps Passé Cumul (h)]], 0)</f>
        <v>2</v>
      </c>
      <c r="H12" s="27">
        <f>Février[[#This Row],[Temps Passé Cumul (h)]]+Février[[#This Row],[Reste à Passer (h)]]</f>
        <v>2</v>
      </c>
      <c r="I12" s="27">
        <f>Février[[#This Row],[Charge Initiale (h)]]-Février[[#This Row],[Charge Révisée (h)]]</f>
        <v>0</v>
      </c>
      <c r="J12" s="27" t="str">
        <f>IF(Février[[#This Row],[Qui]]="Chef de projet","35",IF(Février[[#This Row],[Qui]]="Ingénieur Electronique","32",IF(Février[[#This Row],[Qui]]="Ingénieur qualité","36",IF(Février[[#This Row],[Qui]]="Ingénieur Développement",30,IF(Février[[#This Row],[Qui]]="Ingénieur Mécanique",34,"")))))</f>
        <v>35</v>
      </c>
      <c r="K12" s="27">
        <f>Février[[#This Row],[Charge Initiale (h)]]*Février[[#This Row],[Prix de Revient Unitaire (€)]]</f>
        <v>70</v>
      </c>
      <c r="L12" s="27">
        <f>Février[[#This Row],[Charge Révisée (h)]]*Février[[#This Row],[Prix de Revient Unitaire (€)]]</f>
        <v>70</v>
      </c>
      <c r="M12" s="27">
        <f>Février[[#This Row],[Prix de Revient Unitaire (€)]]*Février[[#This Row],[Temps Passé Cumul (h)]]</f>
        <v>0</v>
      </c>
      <c r="N12" s="28" t="s">
        <v>29</v>
      </c>
    </row>
    <row r="13" spans="1:14" x14ac:dyDescent="0.45">
      <c r="A13" s="85" t="s">
        <v>21</v>
      </c>
      <c r="B13" s="7" t="s">
        <v>42</v>
      </c>
      <c r="C13" s="19" t="s">
        <v>11</v>
      </c>
      <c r="D13" s="6">
        <v>7</v>
      </c>
      <c r="E13" s="6">
        <v>0</v>
      </c>
      <c r="F13" s="6">
        <f>Février[[#This Row],[Temps Passé Période (h)]]+Janvier[[#This Row],[Temps Passé Cumul (h)]]</f>
        <v>0</v>
      </c>
      <c r="G13" s="6">
        <f>MAX(Février[[#This Row],[Charge Initiale (h)]]-Février[[#This Row],[Temps Passé Cumul (h)]], 0)</f>
        <v>7</v>
      </c>
      <c r="H13" s="6">
        <f>Février[[#This Row],[Temps Passé Cumul (h)]]+Février[[#This Row],[Reste à Passer (h)]]</f>
        <v>7</v>
      </c>
      <c r="I13" s="6">
        <f>Février[[#This Row],[Charge Initiale (h)]]-Février[[#This Row],[Charge Révisée (h)]]</f>
        <v>0</v>
      </c>
      <c r="J13" s="6" t="str">
        <f>IF(Février[[#This Row],[Qui]]="Chef de projet","35",IF(Février[[#This Row],[Qui]]="Ingénieur Electronique","32",IF(Février[[#This Row],[Qui]]="Ingénieur qualité","36",IF(Février[[#This Row],[Qui]]="Ingénieur Développement",30,IF(Février[[#This Row],[Qui]]="Ingénieur Mécanique",34,"")))))</f>
        <v>35</v>
      </c>
      <c r="K13" s="6">
        <f>Février[[#This Row],[Charge Initiale (h)]]*Février[[#This Row],[Prix de Revient Unitaire (€)]]</f>
        <v>245</v>
      </c>
      <c r="L13" s="6">
        <f>Février[[#This Row],[Charge Révisée (h)]]*Février[[#This Row],[Prix de Revient Unitaire (€)]]</f>
        <v>245</v>
      </c>
      <c r="M13" s="6">
        <f>Février[[#This Row],[Prix de Revient Unitaire (€)]]*Février[[#This Row],[Temps Passé Cumul (h)]]</f>
        <v>0</v>
      </c>
      <c r="N13" s="13" t="s">
        <v>29</v>
      </c>
    </row>
    <row r="14" spans="1:14" x14ac:dyDescent="0.45">
      <c r="A14" s="86"/>
      <c r="B14" s="7" t="s">
        <v>49</v>
      </c>
      <c r="C14" s="19" t="s">
        <v>11</v>
      </c>
      <c r="D14" s="6">
        <v>4</v>
      </c>
      <c r="E14" s="6">
        <v>0</v>
      </c>
      <c r="F14" s="6">
        <f>Février[[#This Row],[Temps Passé Période (h)]]+Janvier[[#This Row],[Temps Passé Cumul (h)]]</f>
        <v>0</v>
      </c>
      <c r="G14" s="6">
        <f>MAX(Février[[#This Row],[Charge Initiale (h)]]-Février[[#This Row],[Temps Passé Cumul (h)]], 0)</f>
        <v>4</v>
      </c>
      <c r="H14" s="6">
        <f>Février[[#This Row],[Temps Passé Cumul (h)]]+Février[[#This Row],[Reste à Passer (h)]]</f>
        <v>4</v>
      </c>
      <c r="I14" s="6">
        <f>Février[[#This Row],[Charge Initiale (h)]]-Février[[#This Row],[Charge Révisée (h)]]</f>
        <v>0</v>
      </c>
      <c r="J14" s="6" t="str">
        <f>IF(Février[[#This Row],[Qui]]="Chef de projet","35",IF(Février[[#This Row],[Qui]]="Ingénieur Electronique","32",IF(Février[[#This Row],[Qui]]="Ingénieur qualité","36",IF(Février[[#This Row],[Qui]]="Ingénieur Développement",30,IF(Février[[#This Row],[Qui]]="Ingénieur Mécanique",34,"")))))</f>
        <v>35</v>
      </c>
      <c r="K14" s="6">
        <f>Février[[#This Row],[Charge Initiale (h)]]*Février[[#This Row],[Prix de Revient Unitaire (€)]]</f>
        <v>140</v>
      </c>
      <c r="L14" s="6">
        <f>Février[[#This Row],[Charge Révisée (h)]]*Février[[#This Row],[Prix de Revient Unitaire (€)]]</f>
        <v>140</v>
      </c>
      <c r="M14" s="6">
        <f>Février[[#This Row],[Prix de Revient Unitaire (€)]]*Février[[#This Row],[Temps Passé Cumul (h)]]</f>
        <v>0</v>
      </c>
      <c r="N14" s="13" t="s">
        <v>29</v>
      </c>
    </row>
    <row r="15" spans="1:14" x14ac:dyDescent="0.45">
      <c r="A15" s="29" t="s">
        <v>22</v>
      </c>
      <c r="B15" s="30" t="s">
        <v>43</v>
      </c>
      <c r="C15" s="31" t="s">
        <v>11</v>
      </c>
      <c r="D15" s="32">
        <v>20</v>
      </c>
      <c r="E15" s="32">
        <v>0</v>
      </c>
      <c r="F15" s="32">
        <f>Février[[#This Row],[Temps Passé Période (h)]]+Janvier[[#This Row],[Temps Passé Cumul (h)]]</f>
        <v>0</v>
      </c>
      <c r="G15" s="32">
        <f>MAX(Février[[#This Row],[Charge Initiale (h)]]-Février[[#This Row],[Temps Passé Cumul (h)]], 0)</f>
        <v>20</v>
      </c>
      <c r="H15" s="32">
        <f>Février[[#This Row],[Temps Passé Cumul (h)]]+Février[[#This Row],[Reste à Passer (h)]]</f>
        <v>20</v>
      </c>
      <c r="I15" s="32">
        <f>Février[[#This Row],[Charge Initiale (h)]]-Février[[#This Row],[Charge Révisée (h)]]</f>
        <v>0</v>
      </c>
      <c r="J15" s="32" t="str">
        <f>IF(Février[[#This Row],[Qui]]="Chef de projet","35",IF(Février[[#This Row],[Qui]]="Ingénieur Electronique","32",IF(Février[[#This Row],[Qui]]="Ingénieur qualité","36",IF(Février[[#This Row],[Qui]]="Ingénieur Développement",30,IF(Février[[#This Row],[Qui]]="Ingénieur Mécanique",34,"")))))</f>
        <v>35</v>
      </c>
      <c r="K15" s="32">
        <f>Février[[#This Row],[Charge Initiale (h)]]*Février[[#This Row],[Prix de Revient Unitaire (€)]]</f>
        <v>700</v>
      </c>
      <c r="L15" s="32">
        <f>Février[[#This Row],[Charge Révisée (h)]]*Février[[#This Row],[Prix de Revient Unitaire (€)]]</f>
        <v>700</v>
      </c>
      <c r="M15" s="32">
        <f>Février[[#This Row],[Prix de Revient Unitaire (€)]]*Février[[#This Row],[Temps Passé Cumul (h)]]</f>
        <v>0</v>
      </c>
      <c r="N15" s="33" t="s">
        <v>29</v>
      </c>
    </row>
    <row r="16" spans="1:14" x14ac:dyDescent="0.45">
      <c r="A16" s="34" t="s">
        <v>23</v>
      </c>
      <c r="B16" s="35" t="s">
        <v>44</v>
      </c>
      <c r="C16" s="36" t="s">
        <v>11</v>
      </c>
      <c r="D16" s="37">
        <v>6</v>
      </c>
      <c r="E16" s="37">
        <v>0</v>
      </c>
      <c r="F16" s="37">
        <f>Février[[#This Row],[Temps Passé Période (h)]]+Janvier[[#This Row],[Temps Passé Cumul (h)]]</f>
        <v>0</v>
      </c>
      <c r="G16" s="37">
        <f>MAX(Février[[#This Row],[Charge Initiale (h)]]-Février[[#This Row],[Temps Passé Cumul (h)]], 0)</f>
        <v>6</v>
      </c>
      <c r="H16" s="37">
        <f>Février[[#This Row],[Temps Passé Cumul (h)]]+Février[[#This Row],[Reste à Passer (h)]]</f>
        <v>6</v>
      </c>
      <c r="I16" s="37">
        <f>Février[[#This Row],[Charge Initiale (h)]]-Février[[#This Row],[Charge Révisée (h)]]</f>
        <v>0</v>
      </c>
      <c r="J16" s="37" t="str">
        <f>IF(Février[[#This Row],[Qui]]="Chef de projet","35",IF(Février[[#This Row],[Qui]]="Ingénieur Electronique","32",IF(Février[[#This Row],[Qui]]="Ingénieur qualité","36",IF(Février[[#This Row],[Qui]]="Ingénieur Développement",30,IF(Février[[#This Row],[Qui]]="Ingénieur Mécanique",34,"")))))</f>
        <v>35</v>
      </c>
      <c r="K16" s="37">
        <f>Février[[#This Row],[Charge Initiale (h)]]*Février[[#This Row],[Prix de Revient Unitaire (€)]]</f>
        <v>210</v>
      </c>
      <c r="L16" s="37">
        <f>Février[[#This Row],[Charge Révisée (h)]]*Février[[#This Row],[Prix de Revient Unitaire (€)]]</f>
        <v>210</v>
      </c>
      <c r="M16" s="37">
        <f>Février[[#This Row],[Prix de Revient Unitaire (€)]]*Février[[#This Row],[Temps Passé Cumul (h)]]</f>
        <v>0</v>
      </c>
      <c r="N16" s="38" t="s">
        <v>29</v>
      </c>
    </row>
    <row r="17" spans="1:14" x14ac:dyDescent="0.45">
      <c r="A17" s="39" t="s">
        <v>24</v>
      </c>
      <c r="B17" s="40" t="s">
        <v>45</v>
      </c>
      <c r="C17" s="41" t="s">
        <v>11</v>
      </c>
      <c r="D17" s="42">
        <v>4</v>
      </c>
      <c r="E17" s="42">
        <v>0</v>
      </c>
      <c r="F17" s="42">
        <f>Février[[#This Row],[Temps Passé Période (h)]]+Janvier[[#This Row],[Temps Passé Cumul (h)]]</f>
        <v>0</v>
      </c>
      <c r="G17" s="42">
        <f>MAX(Février[[#This Row],[Charge Initiale (h)]]-Février[[#This Row],[Temps Passé Cumul (h)]], 0)</f>
        <v>4</v>
      </c>
      <c r="H17" s="42">
        <f>Février[[#This Row],[Temps Passé Cumul (h)]]+Février[[#This Row],[Reste à Passer (h)]]</f>
        <v>4</v>
      </c>
      <c r="I17" s="42">
        <f>Février[[#This Row],[Charge Initiale (h)]]-Février[[#This Row],[Charge Révisée (h)]]</f>
        <v>0</v>
      </c>
      <c r="J17" s="42" t="str">
        <f>IF(Février[[#This Row],[Qui]]="Chef de projet","35",IF(Février[[#This Row],[Qui]]="Ingénieur Electronique","32",IF(Février[[#This Row],[Qui]]="Ingénieur qualité","36",IF(Février[[#This Row],[Qui]]="Ingénieur Développement",30,IF(Février[[#This Row],[Qui]]="Ingénieur Mécanique",34,"")))))</f>
        <v>35</v>
      </c>
      <c r="K17" s="42">
        <f>Février[[#This Row],[Charge Initiale (h)]]*Février[[#This Row],[Prix de Revient Unitaire (€)]]</f>
        <v>140</v>
      </c>
      <c r="L17" s="42">
        <f>Février[[#This Row],[Charge Révisée (h)]]*Février[[#This Row],[Prix de Revient Unitaire (€)]]</f>
        <v>140</v>
      </c>
      <c r="M17" s="42">
        <f>Février[[#This Row],[Prix de Revient Unitaire (€)]]*Février[[#This Row],[Temps Passé Cumul (h)]]</f>
        <v>0</v>
      </c>
      <c r="N17" s="43" t="s">
        <v>29</v>
      </c>
    </row>
    <row r="18" spans="1:14" x14ac:dyDescent="0.45">
      <c r="A18" s="72" t="s">
        <v>30</v>
      </c>
      <c r="B18" s="44" t="s">
        <v>46</v>
      </c>
      <c r="C18" s="44" t="s">
        <v>11</v>
      </c>
      <c r="D18" s="45">
        <v>3</v>
      </c>
      <c r="E18" s="45">
        <v>0</v>
      </c>
      <c r="F18" s="45">
        <f>Février[[#This Row],[Temps Passé Période (h)]]+Janvier[[#This Row],[Temps Passé Cumul (h)]]</f>
        <v>0</v>
      </c>
      <c r="G18" s="45">
        <f>MAX(Février[[#This Row],[Charge Initiale (h)]]-Février[[#This Row],[Temps Passé Cumul (h)]], 0)</f>
        <v>3</v>
      </c>
      <c r="H18" s="45">
        <f>Février[[#This Row],[Temps Passé Cumul (h)]]+Février[[#This Row],[Reste à Passer (h)]]</f>
        <v>3</v>
      </c>
      <c r="I18" s="45">
        <f>Février[[#This Row],[Charge Initiale (h)]]-Février[[#This Row],[Charge Révisée (h)]]</f>
        <v>0</v>
      </c>
      <c r="J18" s="45" t="str">
        <f>IF(Février[[#This Row],[Qui]]="Chef de projet","35",IF(Février[[#This Row],[Qui]]="Ingénieur Electronique","32",IF(Février[[#This Row],[Qui]]="Ingénieur qualité","36",IF(Février[[#This Row],[Qui]]="Ingénieur Développement",30,IF(Février[[#This Row],[Qui]]="Ingénieur Mécanique",34,"")))))</f>
        <v>35</v>
      </c>
      <c r="K18" s="45">
        <f>Février[[#This Row],[Charge Initiale (h)]]*Février[[#This Row],[Prix de Revient Unitaire (€)]]</f>
        <v>105</v>
      </c>
      <c r="L18" s="45">
        <f>Février[[#This Row],[Charge Révisée (h)]]*Février[[#This Row],[Prix de Revient Unitaire (€)]]</f>
        <v>105</v>
      </c>
      <c r="M18" s="45">
        <f>Février[[#This Row],[Prix de Revient Unitaire (€)]]*Février[[#This Row],[Temps Passé Cumul (h)]]</f>
        <v>0</v>
      </c>
      <c r="N18" s="46" t="s">
        <v>29</v>
      </c>
    </row>
    <row r="19" spans="1:14" x14ac:dyDescent="0.45">
      <c r="A19" s="73"/>
      <c r="B19" s="44" t="s">
        <v>47</v>
      </c>
      <c r="C19" s="44" t="s">
        <v>11</v>
      </c>
      <c r="D19" s="45">
        <v>8</v>
      </c>
      <c r="E19" s="45">
        <v>0</v>
      </c>
      <c r="F19" s="45">
        <f>Février[[#This Row],[Temps Passé Période (h)]]+Janvier[[#This Row],[Temps Passé Cumul (h)]]</f>
        <v>0</v>
      </c>
      <c r="G19" s="45">
        <f>MAX(Février[[#This Row],[Charge Initiale (h)]]-Février[[#This Row],[Temps Passé Cumul (h)]], 0)</f>
        <v>8</v>
      </c>
      <c r="H19" s="45">
        <f>Février[[#This Row],[Temps Passé Cumul (h)]]+Février[[#This Row],[Reste à Passer (h)]]</f>
        <v>8</v>
      </c>
      <c r="I19" s="45">
        <f>Février[[#This Row],[Charge Initiale (h)]]-Février[[#This Row],[Charge Révisée (h)]]</f>
        <v>0</v>
      </c>
      <c r="J19" s="45" t="str">
        <f>IF(Février[[#This Row],[Qui]]="Chef de projet","35",IF(Février[[#This Row],[Qui]]="Ingénieur Electronique","32",IF(Février[[#This Row],[Qui]]="Ingénieur qualité","36",IF(Février[[#This Row],[Qui]]="Ingénieur Développement",30,IF(Février[[#This Row],[Qui]]="Ingénieur Mécanique",34,"")))))</f>
        <v>35</v>
      </c>
      <c r="K19" s="45">
        <f>Février[[#This Row],[Charge Initiale (h)]]*Février[[#This Row],[Prix de Revient Unitaire (€)]]</f>
        <v>280</v>
      </c>
      <c r="L19" s="45">
        <f>Février[[#This Row],[Charge Révisée (h)]]*Février[[#This Row],[Prix de Revient Unitaire (€)]]</f>
        <v>280</v>
      </c>
      <c r="M19" s="45">
        <f>Février[[#This Row],[Prix de Revient Unitaire (€)]]*Février[[#This Row],[Temps Passé Cumul (h)]]</f>
        <v>0</v>
      </c>
      <c r="N19" s="46" t="s">
        <v>29</v>
      </c>
    </row>
    <row r="20" spans="1:14" x14ac:dyDescent="0.45">
      <c r="A20" s="47" t="s">
        <v>31</v>
      </c>
      <c r="B20" s="48" t="s">
        <v>48</v>
      </c>
      <c r="C20" s="48" t="s">
        <v>11</v>
      </c>
      <c r="D20" s="49">
        <v>2</v>
      </c>
      <c r="E20" s="49">
        <v>0</v>
      </c>
      <c r="F20" s="49">
        <f>Février[[#This Row],[Temps Passé Période (h)]]+Janvier[[#This Row],[Temps Passé Cumul (h)]]</f>
        <v>0</v>
      </c>
      <c r="G20" s="49">
        <f>MAX(Février[[#This Row],[Charge Initiale (h)]]-Février[[#This Row],[Temps Passé Cumul (h)]], 0)</f>
        <v>2</v>
      </c>
      <c r="H20" s="49">
        <f>Février[[#This Row],[Temps Passé Cumul (h)]]+Février[[#This Row],[Reste à Passer (h)]]</f>
        <v>2</v>
      </c>
      <c r="I20" s="49">
        <f>Février[[#This Row],[Charge Initiale (h)]]-Février[[#This Row],[Charge Révisée (h)]]</f>
        <v>0</v>
      </c>
      <c r="J20" s="49" t="str">
        <f>IF(Février[[#This Row],[Qui]]="Chef de projet","35",IF(Février[[#This Row],[Qui]]="Ingénieur Electronique","32",IF(Février[[#This Row],[Qui]]="Ingénieur qualité","36",IF(Février[[#This Row],[Qui]]="Ingénieur Développement",30,IF(Février[[#This Row],[Qui]]="Ingénieur Mécanique",34,"")))))</f>
        <v>35</v>
      </c>
      <c r="K20" s="49">
        <f>Février[[#This Row],[Charge Initiale (h)]]*Février[[#This Row],[Prix de Revient Unitaire (€)]]</f>
        <v>70</v>
      </c>
      <c r="L20" s="49">
        <f>Février[[#This Row],[Charge Révisée (h)]]*Février[[#This Row],[Prix de Revient Unitaire (€)]]</f>
        <v>70</v>
      </c>
      <c r="M20" s="49">
        <f>Février[[#This Row],[Prix de Revient Unitaire (€)]]*Février[[#This Row],[Temps Passé Cumul (h)]]</f>
        <v>0</v>
      </c>
      <c r="N20" s="50" t="s">
        <v>29</v>
      </c>
    </row>
    <row r="21" spans="1:14" ht="14.65" thickBot="1" x14ac:dyDescent="0.5">
      <c r="A21" s="14"/>
      <c r="B21" s="15" t="s">
        <v>13</v>
      </c>
      <c r="C21" s="15"/>
      <c r="D21" s="15">
        <f>SUBTOTAL(109,Février[Charge Initiale (h)])</f>
        <v>94</v>
      </c>
      <c r="E21" s="15">
        <f>SUBTOTAL(109,Février[Temps Passé Période (h)])</f>
        <v>0</v>
      </c>
      <c r="F21" s="15">
        <f>SUBTOTAL(109,Février[Temps Passé Cumul (h)])</f>
        <v>30</v>
      </c>
      <c r="G21" s="15">
        <f>SUBTOTAL(109,Février[Reste à Passer (h)])</f>
        <v>67</v>
      </c>
      <c r="H21" s="15">
        <f>SUBTOTAL(109,Février[Charge Révisée (h)])</f>
        <v>97</v>
      </c>
      <c r="I21" s="15">
        <f>SUBTOTAL(109,Février[Écart de Charge (h)])</f>
        <v>-3</v>
      </c>
      <c r="J21" s="15">
        <f>SUBTOTAL(109,Février[Prix de Revient Unitaire (€)])</f>
        <v>0</v>
      </c>
      <c r="K21" s="15">
        <f>SUBTOTAL(109,Février[Coût Initial (€)])</f>
        <v>3290</v>
      </c>
      <c r="L21" s="16">
        <f>SUBTOTAL(109,Février[Coût Révisé (€)])</f>
        <v>3395</v>
      </c>
      <c r="M21" s="15">
        <f>SUBTOTAL(109,Février[Coût Réel (€)])</f>
        <v>1050</v>
      </c>
      <c r="N21" s="17"/>
    </row>
    <row r="22" spans="1:14" x14ac:dyDescent="0.4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4" x14ac:dyDescent="0.45">
      <c r="B23" s="3" t="s">
        <v>15</v>
      </c>
      <c r="C23" s="3" t="s">
        <v>26</v>
      </c>
      <c r="M23" s="2" t="s">
        <v>27</v>
      </c>
    </row>
    <row r="24" spans="1:14" x14ac:dyDescent="0.45">
      <c r="B24" s="2" t="s">
        <v>16</v>
      </c>
      <c r="C24" s="2">
        <v>115</v>
      </c>
      <c r="M24" s="2" t="s">
        <v>28</v>
      </c>
    </row>
    <row r="25" spans="1:14" x14ac:dyDescent="0.45">
      <c r="B25" s="2" t="s">
        <v>13</v>
      </c>
      <c r="C25" s="2">
        <f>SUM(C24:C24)</f>
        <v>115</v>
      </c>
      <c r="M25" s="2" t="s">
        <v>29</v>
      </c>
    </row>
  </sheetData>
  <autoFilter ref="N1:N20" xr:uid="{0DAFFC15-99E8-48F3-A9AF-0EED6F776D6C}"/>
  <mergeCells count="5">
    <mergeCell ref="A2:A5"/>
    <mergeCell ref="A6:A9"/>
    <mergeCell ref="A10:A12"/>
    <mergeCell ref="A18:A19"/>
    <mergeCell ref="A13:A14"/>
  </mergeCells>
  <dataValidations count="2">
    <dataValidation type="list" allowBlank="1" showInputMessage="1" showErrorMessage="1" sqref="N2:N20" xr:uid="{132DE127-43F3-421C-A616-7F93ED5D61B3}">
      <formula1>$M$24:$M$25</formula1>
    </dataValidation>
    <dataValidation type="list" allowBlank="1" showInputMessage="1" showErrorMessage="1" sqref="C2:C20" xr:uid="{E7AB23E0-5307-4915-B8BC-FDB0AA178E01}">
      <formula1>$B$24:$B$24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1" orientation="landscape" r:id="rId1"/>
  <headerFooter>
    <oddHeader>&amp;A</oddHead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9263497045A640A8CB558901A6A6C8" ma:contentTypeVersion="11" ma:contentTypeDescription="Crée un document." ma:contentTypeScope="" ma:versionID="74a64c617853225d9915ce5c2407eb7f">
  <xsd:schema xmlns:xsd="http://www.w3.org/2001/XMLSchema" xmlns:xs="http://www.w3.org/2001/XMLSchema" xmlns:p="http://schemas.microsoft.com/office/2006/metadata/properties" xmlns:ns2="f3823e97-3c8f-42af-9aa3-4a85adc1b986" xmlns:ns3="1ee72ef8-afb7-4cab-8045-23d1f296c8e3" targetNamespace="http://schemas.microsoft.com/office/2006/metadata/properties" ma:root="true" ma:fieldsID="2245405c225123f82bf2fff4f792a1eb" ns2:_="" ns3:_="">
    <xsd:import namespace="f3823e97-3c8f-42af-9aa3-4a85adc1b986"/>
    <xsd:import namespace="1ee72ef8-afb7-4cab-8045-23d1f296c8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823e97-3c8f-42af-9aa3-4a85adc1b9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2fee1a98-43a5-414c-ba74-85edd82ad2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e72ef8-afb7-4cab-8045-23d1f296c8e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6760f6c-308c-4bc3-aa0b-acf4d151f2cd}" ma:internalName="TaxCatchAll" ma:showField="CatchAllData" ma:web="1ee72ef8-afb7-4cab-8045-23d1f296c8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ee72ef8-afb7-4cab-8045-23d1f296c8e3" xsi:nil="true"/>
    <lcf76f155ced4ddcb4097134ff3c332f xmlns="f3823e97-3c8f-42af-9aa3-4a85adc1b98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B8A2DB-F0C8-46F4-AC39-BA8B306E64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823e97-3c8f-42af-9aa3-4a85adc1b986"/>
    <ds:schemaRef ds:uri="1ee72ef8-afb7-4cab-8045-23d1f296c8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D8CA4D-88CF-4FAD-9219-4EDEC6099C12}">
  <ds:schemaRefs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  <ds:schemaRef ds:uri="http://schemas.openxmlformats.org/package/2006/metadata/core-properties"/>
    <ds:schemaRef ds:uri="1ee72ef8-afb7-4cab-8045-23d1f296c8e3"/>
    <ds:schemaRef ds:uri="f3823e97-3c8f-42af-9aa3-4a85adc1b986"/>
  </ds:schemaRefs>
</ds:datastoreItem>
</file>

<file path=customXml/itemProps3.xml><?xml version="1.0" encoding="utf-8"?>
<ds:datastoreItem xmlns:ds="http://schemas.openxmlformats.org/officeDocument/2006/customXml" ds:itemID="{C3B8A56E-0482-4C34-B391-4275AF43D7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Synthèse</vt:lpstr>
      <vt:lpstr>Septembre</vt:lpstr>
      <vt:lpstr>Octobre</vt:lpstr>
      <vt:lpstr>Novembre</vt:lpstr>
      <vt:lpstr>Décembre</vt:lpstr>
      <vt:lpstr>Janvier</vt:lpstr>
      <vt:lpstr>Février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Alexandre Bourcier</dc:creator>
  <cp:keywords/>
  <dc:description/>
  <cp:lastModifiedBy>Alexandre Bourcier</cp:lastModifiedBy>
  <cp:revision/>
  <cp:lastPrinted>2025-10-28T08:15:53Z</cp:lastPrinted>
  <dcterms:created xsi:type="dcterms:W3CDTF">2024-01-15T15:35:24Z</dcterms:created>
  <dcterms:modified xsi:type="dcterms:W3CDTF">2025-10-28T09:06:02Z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0x010100CF9263497045A640A8CB558901A6A6C8</vt:lpwstr>
  </property>
  <property fmtid="{D5CDD505-2E9C-101B-9397-08002B2CF9AE}" pid="3" name="MediaServiceImageTags">
    <vt:lpwstr/>
  </property>
</Properties>
</file>