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ktir\Desktop\PRI Canne intelligente\"/>
    </mc:Choice>
  </mc:AlternateContent>
  <xr:revisionPtr revIDLastSave="0" documentId="13_ncr:1_{73D567A9-46A7-4C76-A31E-78D80EF9DCC8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Septembre" sheetId="12" r:id="rId1"/>
    <sheet name="Octobre " sheetId="1" r:id="rId2"/>
    <sheet name="Novembre" sheetId="3" r:id="rId3"/>
    <sheet name="Décembre" sheetId="4" r:id="rId4"/>
    <sheet name="Janvier" sheetId="5" r:id="rId5"/>
    <sheet name="Février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5" l="1"/>
  <c r="I14" i="5"/>
  <c r="I12" i="5"/>
  <c r="E12" i="5"/>
  <c r="I8" i="5"/>
  <c r="G7" i="5"/>
  <c r="I7" i="5" s="1"/>
  <c r="F7" i="5"/>
  <c r="D7" i="5"/>
  <c r="G6" i="5"/>
  <c r="I6" i="5" s="1"/>
  <c r="F6" i="5"/>
  <c r="D6" i="5"/>
  <c r="G5" i="5"/>
  <c r="I5" i="5" s="1"/>
  <c r="F5" i="5"/>
  <c r="D5" i="5"/>
  <c r="G4" i="5"/>
  <c r="I4" i="5" s="1"/>
  <c r="F4" i="5"/>
  <c r="D4" i="5"/>
  <c r="G3" i="5"/>
  <c r="I3" i="5" s="1"/>
  <c r="F3" i="5"/>
  <c r="D3" i="5"/>
  <c r="I2" i="5"/>
  <c r="F2" i="5"/>
  <c r="I13" i="4"/>
  <c r="I12" i="4"/>
  <c r="E8" i="3"/>
  <c r="I2" i="4"/>
  <c r="F2" i="4"/>
  <c r="C8" i="3"/>
  <c r="D8" i="3"/>
  <c r="I13" i="1"/>
  <c r="I14" i="1"/>
  <c r="I15" i="1"/>
  <c r="I12" i="1"/>
  <c r="I8" i="1"/>
  <c r="F13" i="1"/>
  <c r="F14" i="1"/>
  <c r="F15" i="1"/>
  <c r="F12" i="1"/>
  <c r="F8" i="1"/>
  <c r="D8" i="1"/>
  <c r="E8" i="1"/>
  <c r="D2" i="1"/>
  <c r="I3" i="12"/>
  <c r="I4" i="12"/>
  <c r="I5" i="12"/>
  <c r="I6" i="12"/>
  <c r="I7" i="12"/>
  <c r="E2" i="1"/>
  <c r="C8" i="1"/>
  <c r="C2" i="1"/>
  <c r="F2" i="3"/>
  <c r="F2" i="12"/>
  <c r="I2" i="1"/>
  <c r="C2" i="12"/>
  <c r="H18" i="6"/>
  <c r="E18" i="6"/>
  <c r="C18" i="6"/>
  <c r="B18" i="6"/>
  <c r="G12" i="6"/>
  <c r="I12" i="6" s="1"/>
  <c r="F12" i="6"/>
  <c r="D12" i="6"/>
  <c r="G8" i="6"/>
  <c r="I8" i="6" s="1"/>
  <c r="F8" i="6"/>
  <c r="D8" i="6"/>
  <c r="G18" i="6"/>
  <c r="F2" i="6"/>
  <c r="D12" i="4"/>
  <c r="E12" i="4" s="1"/>
  <c r="F12" i="4" s="1"/>
  <c r="I8" i="4"/>
  <c r="G7" i="4"/>
  <c r="I7" i="4" s="1"/>
  <c r="F7" i="4"/>
  <c r="D7" i="4"/>
  <c r="G6" i="4"/>
  <c r="I6" i="4" s="1"/>
  <c r="F6" i="4"/>
  <c r="D6" i="4"/>
  <c r="G5" i="4"/>
  <c r="I5" i="4" s="1"/>
  <c r="F5" i="4"/>
  <c r="D5" i="4"/>
  <c r="G4" i="4"/>
  <c r="I4" i="4" s="1"/>
  <c r="F4" i="4"/>
  <c r="D4" i="4"/>
  <c r="G3" i="4"/>
  <c r="I3" i="4" s="1"/>
  <c r="F3" i="4"/>
  <c r="D3" i="4"/>
  <c r="G12" i="3"/>
  <c r="I12" i="3" s="1"/>
  <c r="D12" i="3"/>
  <c r="F8" i="3" l="1"/>
  <c r="I8" i="3"/>
  <c r="F18" i="6"/>
  <c r="D18" i="6"/>
  <c r="I2" i="6"/>
  <c r="I18" i="6" s="1"/>
  <c r="I2" i="3"/>
  <c r="I2" i="12" l="1"/>
  <c r="F2" i="1" l="1"/>
</calcChain>
</file>

<file path=xl/sharedStrings.xml><?xml version="1.0" encoding="utf-8"?>
<sst xmlns="http://schemas.openxmlformats.org/spreadsheetml/2006/main" count="145" uniqueCount="25">
  <si>
    <t>Taches</t>
  </si>
  <si>
    <t>CI (Charge initiale)</t>
  </si>
  <si>
    <t>TPS (Temps passé)</t>
  </si>
  <si>
    <t>TPS Total</t>
  </si>
  <si>
    <t>RPS (Reste à passer)</t>
  </si>
  <si>
    <t>Ecart de charge</t>
  </si>
  <si>
    <t>Charge revisee</t>
  </si>
  <si>
    <t>PRU (Prix Revient Unitaire)</t>
  </si>
  <si>
    <t>Cout révisé</t>
  </si>
  <si>
    <t>Heures</t>
  </si>
  <si>
    <t>Rédaction FOP</t>
  </si>
  <si>
    <t>Rédaction SPER</t>
  </si>
  <si>
    <t>Rédaction plan de dev</t>
  </si>
  <si>
    <t>Rédaction specs.</t>
  </si>
  <si>
    <t>Planning</t>
  </si>
  <si>
    <t>Réalisation</t>
  </si>
  <si>
    <t>Tests unitaires</t>
  </si>
  <si>
    <t>Tests d'intégration</t>
  </si>
  <si>
    <t>Validation</t>
  </si>
  <si>
    <t>SOMMES</t>
  </si>
  <si>
    <t>Conception</t>
  </si>
  <si>
    <t>Initialisation et spécification</t>
  </si>
  <si>
    <t>Conception générale</t>
  </si>
  <si>
    <t xml:space="preserve">Conception detaillée </t>
  </si>
  <si>
    <t>Etude d'amélioration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</si>
</sst>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5" borderId="1" xfId="0" quotePrefix="1" applyFill="1" applyBorder="1"/>
    <xf numFmtId="0" fontId="0" fillId="6" borderId="1" xfId="0" quotePrefix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4" borderId="1" xfId="0" applyFont="1" applyFill="1" applyBorder="1"/>
    <xf numFmtId="0" fontId="0" fillId="7" borderId="1" xfId="0" quotePrefix="1" applyFill="1" applyBorder="1"/>
    <xf numFmtId="0" fontId="0" fillId="2" borderId="1" xfId="0" quotePrefix="1" applyFill="1" applyBorder="1"/>
    <xf numFmtId="0" fontId="0" fillId="3" borderId="1" xfId="0" applyFill="1" applyBorder="1"/>
    <xf numFmtId="0" fontId="0" fillId="8" borderId="1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B5969-661E-4D50-98CA-393AA8BBD57D}">
  <dimension ref="A1:K16"/>
  <sheetViews>
    <sheetView workbookViewId="0">
      <selection activeCell="D2" sqref="D2"/>
    </sheetView>
  </sheetViews>
  <sheetFormatPr baseColWidth="10" defaultRowHeight="14.4" x14ac:dyDescent="0.3"/>
  <cols>
    <col min="1" max="1" width="24.109375" bestFit="1" customWidth="1"/>
    <col min="2" max="3" width="15.77734375" bestFit="1" customWidth="1"/>
    <col min="4" max="4" width="8.5546875" bestFit="1" customWidth="1"/>
    <col min="5" max="5" width="17.33203125" bestFit="1" customWidth="1"/>
    <col min="6" max="6" width="13.5546875" bestFit="1" customWidth="1"/>
    <col min="7" max="7" width="12.88671875" bestFit="1" customWidth="1"/>
    <col min="8" max="8" width="22.77734375" bestFit="1" customWidth="1"/>
  </cols>
  <sheetData>
    <row r="1" spans="1:11" ht="15.6" thickTop="1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t="s">
        <v>9</v>
      </c>
    </row>
    <row r="2" spans="1:11" ht="15.6" thickTop="1" thickBot="1" x14ac:dyDescent="0.35">
      <c r="A2" s="1" t="s">
        <v>21</v>
      </c>
      <c r="B2" s="3">
        <v>20</v>
      </c>
      <c r="C2" s="4">
        <f>SUM(C3:C7)</f>
        <v>10</v>
      </c>
      <c r="D2" s="4">
        <v>10</v>
      </c>
      <c r="E2" s="4">
        <v>10</v>
      </c>
      <c r="F2" s="4">
        <f>B2-(D2+E2)</f>
        <v>0</v>
      </c>
      <c r="G2" s="4">
        <v>10</v>
      </c>
      <c r="H2" s="4">
        <v>50</v>
      </c>
      <c r="I2" s="5">
        <f>G2*H2</f>
        <v>500</v>
      </c>
    </row>
    <row r="3" spans="1:11" ht="15.6" thickTop="1" thickBot="1" x14ac:dyDescent="0.35">
      <c r="A3" s="2" t="s">
        <v>10</v>
      </c>
      <c r="B3" s="6"/>
      <c r="C3" s="7">
        <v>2</v>
      </c>
      <c r="D3" s="4"/>
      <c r="E3" s="7"/>
      <c r="F3" s="4"/>
      <c r="G3" s="4"/>
      <c r="H3" s="4"/>
      <c r="I3" s="5">
        <f t="shared" ref="I3:I7" si="0">G3*H3</f>
        <v>0</v>
      </c>
    </row>
    <row r="4" spans="1:11" ht="15.6" thickTop="1" thickBot="1" x14ac:dyDescent="0.35">
      <c r="A4" s="2" t="s">
        <v>11</v>
      </c>
      <c r="B4" s="6"/>
      <c r="C4" s="7">
        <v>1</v>
      </c>
      <c r="D4" s="4"/>
      <c r="E4" s="7"/>
      <c r="F4" s="4"/>
      <c r="G4" s="4"/>
      <c r="H4" s="4"/>
      <c r="I4" s="5">
        <f t="shared" si="0"/>
        <v>0</v>
      </c>
    </row>
    <row r="5" spans="1:11" ht="15.6" thickTop="1" thickBot="1" x14ac:dyDescent="0.35">
      <c r="A5" s="2" t="s">
        <v>12</v>
      </c>
      <c r="B5" s="6"/>
      <c r="C5" s="7">
        <v>3</v>
      </c>
      <c r="D5" s="4"/>
      <c r="E5" s="7"/>
      <c r="F5" s="4"/>
      <c r="G5" s="4"/>
      <c r="H5" s="4"/>
      <c r="I5" s="5">
        <f t="shared" si="0"/>
        <v>0</v>
      </c>
    </row>
    <row r="6" spans="1:11" ht="15.6" thickTop="1" thickBot="1" x14ac:dyDescent="0.35">
      <c r="A6" s="2" t="s">
        <v>13</v>
      </c>
      <c r="B6" s="6"/>
      <c r="C6" s="7">
        <v>4</v>
      </c>
      <c r="D6" s="4"/>
      <c r="E6" s="7"/>
      <c r="F6" s="4"/>
      <c r="G6" s="4"/>
      <c r="H6" s="4"/>
      <c r="I6" s="5">
        <f t="shared" si="0"/>
        <v>0</v>
      </c>
    </row>
    <row r="7" spans="1:11" ht="15.6" thickTop="1" thickBot="1" x14ac:dyDescent="0.35">
      <c r="A7" s="2" t="s">
        <v>14</v>
      </c>
      <c r="B7" s="6"/>
      <c r="C7" s="7"/>
      <c r="D7" s="4"/>
      <c r="E7" s="7"/>
      <c r="F7" s="4"/>
      <c r="G7" s="4"/>
      <c r="H7" s="4"/>
      <c r="I7" s="5">
        <f t="shared" si="0"/>
        <v>0</v>
      </c>
    </row>
    <row r="8" spans="1:11" ht="15.6" thickTop="1" thickBot="1" x14ac:dyDescent="0.35">
      <c r="A8" s="10" t="s">
        <v>20</v>
      </c>
      <c r="B8" s="6"/>
      <c r="C8" s="7"/>
      <c r="D8" s="7"/>
      <c r="E8" s="7"/>
      <c r="F8" s="7"/>
      <c r="G8" s="7"/>
      <c r="H8" s="7"/>
      <c r="I8" s="8"/>
    </row>
    <row r="9" spans="1:11" ht="15.6" thickTop="1" thickBot="1" x14ac:dyDescent="0.35">
      <c r="A9" s="11" t="s">
        <v>22</v>
      </c>
      <c r="B9" s="6"/>
      <c r="C9" s="7"/>
      <c r="D9" s="7"/>
      <c r="E9" s="7"/>
      <c r="F9" s="7"/>
      <c r="G9" s="7"/>
      <c r="H9" s="7"/>
      <c r="I9" s="8"/>
    </row>
    <row r="10" spans="1:11" ht="15.6" thickTop="1" thickBot="1" x14ac:dyDescent="0.35">
      <c r="A10" s="11" t="s">
        <v>23</v>
      </c>
      <c r="B10" s="6"/>
      <c r="C10" s="7"/>
      <c r="D10" s="7"/>
      <c r="E10" s="7"/>
      <c r="F10" s="7"/>
      <c r="G10" s="7"/>
      <c r="H10" s="7"/>
      <c r="I10" s="8"/>
    </row>
    <row r="11" spans="1:11" ht="15.6" thickTop="1" thickBot="1" x14ac:dyDescent="0.35">
      <c r="A11" s="11" t="s">
        <v>24</v>
      </c>
      <c r="B11" s="6"/>
      <c r="C11" s="7"/>
      <c r="D11" s="7"/>
      <c r="E11" s="7"/>
      <c r="F11" s="7"/>
      <c r="G11" s="7"/>
      <c r="H11" s="7"/>
      <c r="I11" s="8"/>
    </row>
    <row r="12" spans="1:11" ht="15.6" thickTop="1" thickBot="1" x14ac:dyDescent="0.35">
      <c r="A12" s="12" t="s">
        <v>15</v>
      </c>
      <c r="B12" s="6"/>
      <c r="C12" s="7"/>
      <c r="D12" s="7"/>
      <c r="E12" s="7"/>
      <c r="F12" s="7"/>
      <c r="G12" s="7"/>
      <c r="H12" s="7"/>
      <c r="I12" s="8"/>
    </row>
    <row r="13" spans="1:11" ht="15.6" thickTop="1" thickBot="1" x14ac:dyDescent="0.35">
      <c r="A13" s="13" t="s">
        <v>16</v>
      </c>
      <c r="B13" s="6"/>
      <c r="C13" s="7"/>
      <c r="D13" s="7"/>
      <c r="E13" s="7"/>
      <c r="F13" s="7"/>
      <c r="G13" s="7"/>
      <c r="H13" s="7"/>
      <c r="I13" s="8"/>
    </row>
    <row r="14" spans="1:11" ht="15.6" thickTop="1" thickBot="1" x14ac:dyDescent="0.35">
      <c r="A14" s="17" t="s">
        <v>17</v>
      </c>
      <c r="B14" s="6"/>
      <c r="C14" s="7"/>
      <c r="D14" s="7"/>
      <c r="E14" s="7"/>
      <c r="F14" s="7"/>
      <c r="G14" s="7"/>
      <c r="H14" s="7"/>
      <c r="I14" s="8"/>
    </row>
    <row r="15" spans="1:11" ht="15.6" thickTop="1" thickBot="1" x14ac:dyDescent="0.35">
      <c r="A15" s="18" t="s">
        <v>18</v>
      </c>
      <c r="B15" s="6"/>
      <c r="C15" s="7"/>
      <c r="D15" s="7"/>
      <c r="E15" s="7"/>
      <c r="F15" s="7"/>
      <c r="G15" s="7"/>
      <c r="H15" s="7"/>
      <c r="I15" s="8"/>
    </row>
    <row r="16" spans="1:11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zoomScale="115" zoomScaleNormal="115" workbookViewId="0">
      <selection activeCell="D8" sqref="D8"/>
    </sheetView>
  </sheetViews>
  <sheetFormatPr baseColWidth="10" defaultColWidth="8.6640625" defaultRowHeight="14.4" x14ac:dyDescent="0.3"/>
  <cols>
    <col min="1" max="1" width="35.109375" bestFit="1" customWidth="1"/>
    <col min="2" max="2" width="17.77734375" customWidth="1"/>
    <col min="3" max="3" width="18.77734375" customWidth="1"/>
    <col min="4" max="4" width="8.77734375" bestFit="1" customWidth="1"/>
    <col min="5" max="5" width="18.5546875" bestFit="1" customWidth="1"/>
    <col min="6" max="6" width="14.109375" bestFit="1" customWidth="1"/>
    <col min="7" max="7" width="13.5546875" bestFit="1" customWidth="1"/>
    <col min="8" max="8" width="23.88671875" bestFit="1" customWidth="1"/>
    <col min="9" max="9" width="25.109375" bestFit="1" customWidth="1"/>
  </cols>
  <sheetData>
    <row r="1" spans="1:11" ht="15.6" thickTop="1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t="s">
        <v>9</v>
      </c>
    </row>
    <row r="2" spans="1:11" ht="15.6" thickTop="1" thickBot="1" x14ac:dyDescent="0.35">
      <c r="A2" s="1" t="s">
        <v>21</v>
      </c>
      <c r="B2" s="3">
        <v>20</v>
      </c>
      <c r="C2" s="4">
        <f>SUM(C3:C7)</f>
        <v>9</v>
      </c>
      <c r="D2" s="4">
        <f>C2+Septembre!D2</f>
        <v>19</v>
      </c>
      <c r="E2" s="4">
        <f>B2-D2</f>
        <v>1</v>
      </c>
      <c r="F2" s="4">
        <f>B2-(D2+E2)</f>
        <v>0</v>
      </c>
      <c r="G2" s="4">
        <v>0</v>
      </c>
      <c r="H2" s="4">
        <v>50</v>
      </c>
      <c r="I2" s="5">
        <f>G2*H2</f>
        <v>0</v>
      </c>
    </row>
    <row r="3" spans="1:11" ht="15.6" thickTop="1" thickBot="1" x14ac:dyDescent="0.35">
      <c r="A3" s="2" t="s">
        <v>10</v>
      </c>
      <c r="B3" s="6"/>
      <c r="C3" s="7">
        <v>0</v>
      </c>
      <c r="D3" s="4"/>
      <c r="E3" s="7"/>
      <c r="F3" s="4"/>
      <c r="G3" s="4"/>
      <c r="H3" s="4"/>
      <c r="I3" s="5"/>
    </row>
    <row r="4" spans="1:11" ht="15.6" thickTop="1" thickBot="1" x14ac:dyDescent="0.35">
      <c r="A4" s="2" t="s">
        <v>11</v>
      </c>
      <c r="B4" s="6"/>
      <c r="C4" s="7">
        <v>1</v>
      </c>
      <c r="D4" s="4"/>
      <c r="E4" s="7"/>
      <c r="F4" s="4"/>
      <c r="G4" s="4"/>
      <c r="H4" s="4"/>
      <c r="I4" s="5"/>
    </row>
    <row r="5" spans="1:11" ht="15.6" thickTop="1" thickBot="1" x14ac:dyDescent="0.35">
      <c r="A5" s="2" t="s">
        <v>12</v>
      </c>
      <c r="B5" s="6"/>
      <c r="C5" s="7">
        <v>2</v>
      </c>
      <c r="D5" s="4"/>
      <c r="E5" s="7"/>
      <c r="F5" s="4"/>
      <c r="G5" s="4"/>
      <c r="H5" s="4"/>
      <c r="I5" s="5"/>
    </row>
    <row r="6" spans="1:11" ht="15.6" thickTop="1" thickBot="1" x14ac:dyDescent="0.35">
      <c r="A6" s="2" t="s">
        <v>13</v>
      </c>
      <c r="B6" s="6"/>
      <c r="C6" s="7">
        <v>5</v>
      </c>
      <c r="D6" s="4"/>
      <c r="E6" s="7"/>
      <c r="F6" s="4"/>
      <c r="G6" s="4"/>
      <c r="H6" s="4"/>
      <c r="I6" s="5"/>
    </row>
    <row r="7" spans="1:11" ht="15.6" thickTop="1" thickBot="1" x14ac:dyDescent="0.35">
      <c r="A7" s="2" t="s">
        <v>14</v>
      </c>
      <c r="B7" s="6"/>
      <c r="C7" s="7">
        <v>1</v>
      </c>
      <c r="D7" s="4"/>
      <c r="E7" s="7"/>
      <c r="F7" s="4"/>
      <c r="G7" s="4"/>
      <c r="H7" s="4"/>
      <c r="I7" s="5"/>
    </row>
    <row r="8" spans="1:11" ht="15.6" thickTop="1" thickBot="1" x14ac:dyDescent="0.35">
      <c r="A8" s="10" t="s">
        <v>20</v>
      </c>
      <c r="B8" s="6">
        <v>30</v>
      </c>
      <c r="C8" s="7">
        <f>SUM(C9:C11)</f>
        <v>3</v>
      </c>
      <c r="D8" s="7">
        <f>C8</f>
        <v>3</v>
      </c>
      <c r="E8" s="7">
        <f>B8-C8</f>
        <v>27</v>
      </c>
      <c r="F8" s="4">
        <f>B8-(D8+E8)</f>
        <v>0</v>
      </c>
      <c r="G8" s="7">
        <v>27</v>
      </c>
      <c r="H8" s="7">
        <v>30</v>
      </c>
      <c r="I8" s="5">
        <f>G8*H8</f>
        <v>810</v>
      </c>
    </row>
    <row r="9" spans="1:11" ht="15.6" thickTop="1" thickBot="1" x14ac:dyDescent="0.35">
      <c r="A9" s="11" t="s">
        <v>22</v>
      </c>
      <c r="B9" s="6"/>
      <c r="C9" s="7">
        <v>2</v>
      </c>
      <c r="D9" s="7"/>
      <c r="E9" s="7"/>
      <c r="F9" s="7"/>
      <c r="G9" s="7"/>
      <c r="H9" s="7"/>
      <c r="I9" s="8"/>
    </row>
    <row r="10" spans="1:11" ht="15.6" thickTop="1" thickBot="1" x14ac:dyDescent="0.35">
      <c r="A10" s="11" t="s">
        <v>23</v>
      </c>
      <c r="B10" s="6"/>
      <c r="C10" s="7">
        <v>0</v>
      </c>
      <c r="D10" s="7"/>
      <c r="E10" s="7"/>
      <c r="F10" s="7"/>
      <c r="G10" s="7"/>
      <c r="H10" s="7"/>
      <c r="I10" s="8"/>
    </row>
    <row r="11" spans="1:11" ht="15.6" thickTop="1" thickBot="1" x14ac:dyDescent="0.35">
      <c r="A11" s="11" t="s">
        <v>24</v>
      </c>
      <c r="B11" s="6"/>
      <c r="C11" s="7">
        <v>1</v>
      </c>
      <c r="D11" s="7"/>
      <c r="E11" s="7"/>
      <c r="F11" s="7"/>
      <c r="G11" s="7"/>
      <c r="H11" s="7"/>
      <c r="I11" s="8"/>
    </row>
    <row r="12" spans="1:11" ht="15.6" thickTop="1" thickBot="1" x14ac:dyDescent="0.35">
      <c r="A12" s="12" t="s">
        <v>15</v>
      </c>
      <c r="B12" s="6"/>
      <c r="C12" s="7"/>
      <c r="D12" s="7"/>
      <c r="E12" s="7"/>
      <c r="F12" s="4">
        <f>B12-(D12+E12)</f>
        <v>0</v>
      </c>
      <c r="G12" s="7"/>
      <c r="H12" s="7"/>
      <c r="I12" s="5">
        <f>G12*H12</f>
        <v>0</v>
      </c>
    </row>
    <row r="13" spans="1:11" ht="15.6" thickTop="1" thickBot="1" x14ac:dyDescent="0.35">
      <c r="A13" s="13" t="s">
        <v>16</v>
      </c>
      <c r="B13" s="6"/>
      <c r="C13" s="7"/>
      <c r="D13" s="7"/>
      <c r="E13" s="7"/>
      <c r="F13" s="4">
        <f t="shared" ref="F13:F15" si="0">B13-(D13+E13)</f>
        <v>0</v>
      </c>
      <c r="G13" s="7"/>
      <c r="H13" s="7"/>
      <c r="I13" s="5">
        <f t="shared" ref="I13:I15" si="1">G13*H13</f>
        <v>0</v>
      </c>
    </row>
    <row r="14" spans="1:11" ht="15.6" thickTop="1" thickBot="1" x14ac:dyDescent="0.35">
      <c r="A14" s="17" t="s">
        <v>17</v>
      </c>
      <c r="B14" s="6"/>
      <c r="C14" s="7"/>
      <c r="D14" s="7"/>
      <c r="E14" s="7"/>
      <c r="F14" s="4">
        <f t="shared" si="0"/>
        <v>0</v>
      </c>
      <c r="G14" s="7"/>
      <c r="H14" s="7"/>
      <c r="I14" s="5">
        <f t="shared" si="1"/>
        <v>0</v>
      </c>
    </row>
    <row r="15" spans="1:11" ht="15.6" thickTop="1" thickBot="1" x14ac:dyDescent="0.35">
      <c r="A15" s="18" t="s">
        <v>18</v>
      </c>
      <c r="B15" s="6"/>
      <c r="C15" s="7"/>
      <c r="D15" s="7"/>
      <c r="E15" s="7"/>
      <c r="F15" s="4">
        <f t="shared" si="0"/>
        <v>0</v>
      </c>
      <c r="G15" s="7"/>
      <c r="H15" s="7"/>
      <c r="I15" s="5">
        <f t="shared" si="1"/>
        <v>0</v>
      </c>
    </row>
    <row r="16" spans="1:11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DE11-E27A-44FD-8C98-BA6865F33D5E}">
  <dimension ref="A1:K16"/>
  <sheetViews>
    <sheetView workbookViewId="0">
      <selection activeCell="B13" sqref="B13"/>
    </sheetView>
  </sheetViews>
  <sheetFormatPr baseColWidth="10" defaultColWidth="11.44140625" defaultRowHeight="14.4" x14ac:dyDescent="0.3"/>
  <cols>
    <col min="1" max="1" width="24.109375" bestFit="1" customWidth="1"/>
    <col min="2" max="2" width="15.77734375" bestFit="1" customWidth="1"/>
    <col min="3" max="3" width="16.5546875" customWidth="1"/>
    <col min="4" max="4" width="8.5546875" bestFit="1" customWidth="1"/>
    <col min="5" max="5" width="17.33203125" bestFit="1" customWidth="1"/>
    <col min="6" max="6" width="13.5546875" bestFit="1" customWidth="1"/>
    <col min="7" max="7" width="12.88671875" bestFit="1" customWidth="1"/>
    <col min="8" max="8" width="23.21875" customWidth="1"/>
    <col min="9" max="9" width="10.109375" bestFit="1" customWidth="1"/>
    <col min="11" max="11" width="6.6640625" bestFit="1" customWidth="1"/>
  </cols>
  <sheetData>
    <row r="1" spans="1:11" ht="15.6" thickTop="1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t="s">
        <v>9</v>
      </c>
    </row>
    <row r="2" spans="1:11" ht="15.6" thickTop="1" thickBot="1" x14ac:dyDescent="0.35">
      <c r="A2" s="1" t="s">
        <v>21</v>
      </c>
      <c r="B2" s="3">
        <v>20</v>
      </c>
      <c r="C2" s="4">
        <v>0</v>
      </c>
      <c r="D2" s="4">
        <v>19</v>
      </c>
      <c r="E2" s="4">
        <v>1</v>
      </c>
      <c r="F2" s="4">
        <f>B2-(D2+E2)</f>
        <v>0</v>
      </c>
      <c r="G2" s="4">
        <v>0</v>
      </c>
      <c r="H2" s="4">
        <v>50</v>
      </c>
      <c r="I2" s="5">
        <f>G2*H2</f>
        <v>0</v>
      </c>
    </row>
    <row r="3" spans="1:11" ht="15.6" thickTop="1" thickBot="1" x14ac:dyDescent="0.35">
      <c r="A3" s="2" t="s">
        <v>10</v>
      </c>
      <c r="B3" s="6"/>
      <c r="C3" s="7"/>
      <c r="D3" s="4"/>
      <c r="E3" s="7"/>
      <c r="F3" s="4"/>
      <c r="G3" s="4"/>
      <c r="H3" s="4"/>
      <c r="I3" s="5"/>
    </row>
    <row r="4" spans="1:11" ht="15.6" thickTop="1" thickBot="1" x14ac:dyDescent="0.35">
      <c r="A4" s="2" t="s">
        <v>11</v>
      </c>
      <c r="B4" s="6"/>
      <c r="C4" s="7"/>
      <c r="D4" s="4"/>
      <c r="E4" s="7"/>
      <c r="F4" s="4"/>
      <c r="G4" s="4"/>
      <c r="H4" s="4"/>
      <c r="I4" s="5"/>
    </row>
    <row r="5" spans="1:11" ht="15.6" thickTop="1" thickBot="1" x14ac:dyDescent="0.35">
      <c r="A5" s="2" t="s">
        <v>12</v>
      </c>
      <c r="B5" s="6"/>
      <c r="C5" s="7"/>
      <c r="D5" s="4"/>
      <c r="E5" s="7"/>
      <c r="F5" s="4"/>
      <c r="G5" s="4"/>
      <c r="H5" s="4"/>
      <c r="I5" s="5"/>
    </row>
    <row r="6" spans="1:11" ht="15.6" thickTop="1" thickBot="1" x14ac:dyDescent="0.35">
      <c r="A6" s="2" t="s">
        <v>13</v>
      </c>
      <c r="B6" s="6"/>
      <c r="C6" s="7"/>
      <c r="D6" s="4"/>
      <c r="E6" s="7"/>
      <c r="F6" s="4"/>
      <c r="G6" s="4"/>
      <c r="H6" s="4"/>
      <c r="I6" s="5"/>
    </row>
    <row r="7" spans="1:11" ht="15.6" thickTop="1" thickBot="1" x14ac:dyDescent="0.35">
      <c r="A7" s="2" t="s">
        <v>14</v>
      </c>
      <c r="B7" s="6"/>
      <c r="C7" s="7"/>
      <c r="D7" s="4"/>
      <c r="E7" s="7"/>
      <c r="F7" s="4"/>
      <c r="G7" s="4"/>
      <c r="H7" s="4"/>
      <c r="I7" s="5"/>
    </row>
    <row r="8" spans="1:11" ht="15.6" thickTop="1" thickBot="1" x14ac:dyDescent="0.35">
      <c r="A8" s="10" t="s">
        <v>20</v>
      </c>
      <c r="B8" s="6">
        <v>30</v>
      </c>
      <c r="C8" s="7">
        <f>SUM(C9:C11)</f>
        <v>14</v>
      </c>
      <c r="D8" s="7">
        <f>C8+'Octobre '!D8</f>
        <v>17</v>
      </c>
      <c r="E8" s="7">
        <f>B8-D8</f>
        <v>13</v>
      </c>
      <c r="F8" s="7">
        <f>B8-(D8+E8)</f>
        <v>0</v>
      </c>
      <c r="G8" s="7">
        <v>14</v>
      </c>
      <c r="H8" s="7">
        <v>30</v>
      </c>
      <c r="I8" s="8">
        <f t="shared" ref="I8:I12" si="0">G8*H8</f>
        <v>420</v>
      </c>
    </row>
    <row r="9" spans="1:11" ht="15.6" thickTop="1" thickBot="1" x14ac:dyDescent="0.35">
      <c r="A9" s="11" t="s">
        <v>22</v>
      </c>
      <c r="B9" s="6"/>
      <c r="C9" s="7">
        <v>10</v>
      </c>
      <c r="D9" s="7"/>
      <c r="E9" s="7"/>
      <c r="F9" s="7"/>
      <c r="G9" s="7"/>
      <c r="H9" s="7"/>
      <c r="I9" s="8"/>
    </row>
    <row r="10" spans="1:11" ht="15.6" thickTop="1" thickBot="1" x14ac:dyDescent="0.35">
      <c r="A10" s="11" t="s">
        <v>23</v>
      </c>
      <c r="B10" s="6"/>
      <c r="C10" s="7">
        <v>2</v>
      </c>
      <c r="D10" s="7"/>
      <c r="E10" s="7"/>
      <c r="F10" s="7"/>
      <c r="G10" s="7"/>
      <c r="H10" s="7"/>
      <c r="I10" s="8"/>
    </row>
    <row r="11" spans="1:11" ht="15.6" thickTop="1" thickBot="1" x14ac:dyDescent="0.35">
      <c r="A11" s="11" t="s">
        <v>24</v>
      </c>
      <c r="B11" s="6"/>
      <c r="C11" s="7">
        <v>2</v>
      </c>
      <c r="D11" s="7"/>
      <c r="E11" s="7"/>
      <c r="F11" s="7"/>
      <c r="G11" s="7"/>
      <c r="H11" s="7"/>
      <c r="I11" s="8"/>
    </row>
    <row r="12" spans="1:11" ht="15.6" thickTop="1" thickBot="1" x14ac:dyDescent="0.35">
      <c r="A12" s="12" t="s">
        <v>15</v>
      </c>
      <c r="B12" s="6"/>
      <c r="C12" s="7">
        <v>0</v>
      </c>
      <c r="D12" s="7">
        <f t="shared" ref="D12" si="1">C12</f>
        <v>0</v>
      </c>
      <c r="E12" s="7"/>
      <c r="F12" s="7"/>
      <c r="G12" s="7">
        <f t="shared" ref="G12" si="2">E12+C12</f>
        <v>0</v>
      </c>
      <c r="H12" s="7"/>
      <c r="I12" s="8">
        <f t="shared" si="0"/>
        <v>0</v>
      </c>
    </row>
    <row r="13" spans="1:11" ht="15.6" thickTop="1" thickBot="1" x14ac:dyDescent="0.35">
      <c r="A13" s="13" t="s">
        <v>16</v>
      </c>
      <c r="B13" s="6"/>
      <c r="C13" s="7"/>
      <c r="D13" s="7"/>
      <c r="E13" s="7"/>
      <c r="F13" s="7"/>
      <c r="G13" s="7"/>
      <c r="H13" s="7"/>
      <c r="I13" s="8"/>
    </row>
    <row r="14" spans="1:11" ht="15.6" thickTop="1" thickBot="1" x14ac:dyDescent="0.35">
      <c r="A14" s="17" t="s">
        <v>17</v>
      </c>
      <c r="B14" s="6"/>
      <c r="C14" s="7"/>
      <c r="D14" s="7"/>
      <c r="E14" s="7"/>
      <c r="F14" s="7"/>
      <c r="G14" s="7"/>
      <c r="H14" s="7"/>
      <c r="I14" s="8"/>
    </row>
    <row r="15" spans="1:11" ht="15.6" thickTop="1" thickBot="1" x14ac:dyDescent="0.35">
      <c r="A15" s="18" t="s">
        <v>18</v>
      </c>
      <c r="B15" s="6"/>
      <c r="C15" s="7"/>
      <c r="D15" s="7"/>
      <c r="E15" s="7"/>
      <c r="F15" s="7"/>
      <c r="G15" s="7"/>
      <c r="H15" s="7"/>
      <c r="I15" s="8"/>
    </row>
    <row r="16" spans="1:11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6224-0C6D-4C42-BC6F-5E0E5B8780F4}">
  <dimension ref="A1:K16"/>
  <sheetViews>
    <sheetView workbookViewId="0">
      <selection activeCell="B13" sqref="B13:D13"/>
    </sheetView>
  </sheetViews>
  <sheetFormatPr baseColWidth="10" defaultColWidth="11.44140625" defaultRowHeight="14.4" x14ac:dyDescent="0.3"/>
  <cols>
    <col min="1" max="1" width="24.109375" bestFit="1" customWidth="1"/>
    <col min="2" max="2" width="16.5546875" customWidth="1"/>
    <col min="3" max="3" width="15.77734375" bestFit="1" customWidth="1"/>
    <col min="4" max="4" width="17.77734375" customWidth="1"/>
    <col min="5" max="5" width="17.33203125" bestFit="1" customWidth="1"/>
    <col min="6" max="6" width="13.5546875" bestFit="1" customWidth="1"/>
    <col min="7" max="7" width="13.109375" customWidth="1"/>
    <col min="8" max="8" width="22.77734375" bestFit="1" customWidth="1"/>
  </cols>
  <sheetData>
    <row r="1" spans="1:11" ht="15.6" thickTop="1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t="s">
        <v>9</v>
      </c>
    </row>
    <row r="2" spans="1:11" ht="15.6" thickTop="1" thickBot="1" x14ac:dyDescent="0.35">
      <c r="A2" s="1" t="s">
        <v>21</v>
      </c>
      <c r="B2" s="3">
        <v>20</v>
      </c>
      <c r="C2" s="4">
        <v>0</v>
      </c>
      <c r="D2" s="4">
        <v>19</v>
      </c>
      <c r="E2" s="4">
        <v>1</v>
      </c>
      <c r="F2" s="4">
        <f>B2-(D2+E2)</f>
        <v>0</v>
      </c>
      <c r="G2" s="4">
        <v>0</v>
      </c>
      <c r="H2" s="4">
        <v>50</v>
      </c>
      <c r="I2" s="5">
        <f>G2*H2</f>
        <v>0</v>
      </c>
    </row>
    <row r="3" spans="1:11" ht="15.6" thickTop="1" thickBot="1" x14ac:dyDescent="0.35">
      <c r="A3" s="2" t="s">
        <v>10</v>
      </c>
      <c r="B3" s="6"/>
      <c r="C3" s="7"/>
      <c r="D3" s="4">
        <f t="shared" ref="D3:D12" si="0">C3</f>
        <v>0</v>
      </c>
      <c r="E3" s="7">
        <v>0</v>
      </c>
      <c r="F3" s="4">
        <f t="shared" ref="F3:F12" si="1">B3-(C3+E3)</f>
        <v>0</v>
      </c>
      <c r="G3" s="4">
        <f t="shared" ref="G3:G7" si="2">E3+C3</f>
        <v>0</v>
      </c>
      <c r="H3" s="4">
        <v>50</v>
      </c>
      <c r="I3" s="5">
        <f t="shared" ref="I3:I8" si="3">G3*H3</f>
        <v>0</v>
      </c>
    </row>
    <row r="4" spans="1:11" ht="15.6" thickTop="1" thickBot="1" x14ac:dyDescent="0.35">
      <c r="A4" s="2" t="s">
        <v>11</v>
      </c>
      <c r="B4" s="6"/>
      <c r="C4" s="7"/>
      <c r="D4" s="4">
        <f t="shared" si="0"/>
        <v>0</v>
      </c>
      <c r="E4" s="7"/>
      <c r="F4" s="4">
        <f t="shared" si="1"/>
        <v>0</v>
      </c>
      <c r="G4" s="4">
        <f t="shared" si="2"/>
        <v>0</v>
      </c>
      <c r="H4" s="4">
        <v>50</v>
      </c>
      <c r="I4" s="5">
        <f t="shared" si="3"/>
        <v>0</v>
      </c>
    </row>
    <row r="5" spans="1:11" ht="15.6" thickTop="1" thickBot="1" x14ac:dyDescent="0.35">
      <c r="A5" s="2" t="s">
        <v>12</v>
      </c>
      <c r="B5" s="6"/>
      <c r="C5" s="7"/>
      <c r="D5" s="4">
        <f t="shared" si="0"/>
        <v>0</v>
      </c>
      <c r="E5" s="7"/>
      <c r="F5" s="4">
        <f t="shared" si="1"/>
        <v>0</v>
      </c>
      <c r="G5" s="4">
        <f t="shared" si="2"/>
        <v>0</v>
      </c>
      <c r="H5" s="4">
        <v>50</v>
      </c>
      <c r="I5" s="5">
        <f t="shared" si="3"/>
        <v>0</v>
      </c>
    </row>
    <row r="6" spans="1:11" ht="15.6" thickTop="1" thickBot="1" x14ac:dyDescent="0.35">
      <c r="A6" s="2" t="s">
        <v>13</v>
      </c>
      <c r="B6" s="6"/>
      <c r="C6" s="7"/>
      <c r="D6" s="4">
        <f t="shared" si="0"/>
        <v>0</v>
      </c>
      <c r="E6" s="7"/>
      <c r="F6" s="4">
        <f t="shared" si="1"/>
        <v>0</v>
      </c>
      <c r="G6" s="4">
        <f t="shared" si="2"/>
        <v>0</v>
      </c>
      <c r="H6" s="4">
        <v>50</v>
      </c>
      <c r="I6" s="5">
        <f t="shared" si="3"/>
        <v>0</v>
      </c>
    </row>
    <row r="7" spans="1:11" ht="15.6" thickTop="1" thickBot="1" x14ac:dyDescent="0.35">
      <c r="A7" s="2" t="s">
        <v>14</v>
      </c>
      <c r="B7" s="6"/>
      <c r="C7" s="7"/>
      <c r="D7" s="4">
        <f t="shared" si="0"/>
        <v>0</v>
      </c>
      <c r="E7" s="7"/>
      <c r="F7" s="4">
        <f t="shared" si="1"/>
        <v>0</v>
      </c>
      <c r="G7" s="4">
        <f t="shared" si="2"/>
        <v>0</v>
      </c>
      <c r="H7" s="4">
        <v>50</v>
      </c>
      <c r="I7" s="5">
        <f t="shared" si="3"/>
        <v>0</v>
      </c>
    </row>
    <row r="8" spans="1:11" ht="15.6" thickTop="1" thickBot="1" x14ac:dyDescent="0.35">
      <c r="A8" s="10" t="s">
        <v>20</v>
      </c>
      <c r="B8" s="6">
        <v>30</v>
      </c>
      <c r="C8" s="7">
        <v>3</v>
      </c>
      <c r="D8" s="7">
        <v>20</v>
      </c>
      <c r="E8" s="7">
        <v>10</v>
      </c>
      <c r="F8" s="7">
        <v>0</v>
      </c>
      <c r="G8" s="7">
        <v>10</v>
      </c>
      <c r="H8" s="7">
        <v>50</v>
      </c>
      <c r="I8" s="8">
        <f t="shared" si="3"/>
        <v>500</v>
      </c>
    </row>
    <row r="9" spans="1:11" ht="15.6" thickTop="1" thickBot="1" x14ac:dyDescent="0.35">
      <c r="A9" s="11" t="s">
        <v>22</v>
      </c>
      <c r="B9" s="6"/>
      <c r="C9" s="7"/>
      <c r="D9" s="7"/>
      <c r="E9" s="7"/>
      <c r="F9" s="7"/>
      <c r="G9" s="7"/>
      <c r="H9" s="7"/>
      <c r="I9" s="8"/>
    </row>
    <row r="10" spans="1:11" ht="15.6" thickTop="1" thickBot="1" x14ac:dyDescent="0.35">
      <c r="A10" s="11" t="s">
        <v>23</v>
      </c>
      <c r="B10" s="6"/>
      <c r="C10" s="7">
        <v>3</v>
      </c>
      <c r="D10" s="7"/>
      <c r="E10" s="7"/>
      <c r="F10" s="7"/>
      <c r="G10" s="7"/>
      <c r="H10" s="7"/>
      <c r="I10" s="8"/>
    </row>
    <row r="11" spans="1:11" ht="15.6" thickTop="1" thickBot="1" x14ac:dyDescent="0.35">
      <c r="A11" s="11" t="s">
        <v>24</v>
      </c>
      <c r="B11" s="6"/>
      <c r="C11" s="7"/>
      <c r="D11" s="7"/>
      <c r="E11" s="7"/>
      <c r="F11" s="7"/>
      <c r="G11" s="7"/>
      <c r="H11" s="7"/>
      <c r="I11" s="8"/>
    </row>
    <row r="12" spans="1:11" ht="15.6" thickTop="1" thickBot="1" x14ac:dyDescent="0.35">
      <c r="A12" s="12" t="s">
        <v>15</v>
      </c>
      <c r="B12" s="6">
        <v>55</v>
      </c>
      <c r="C12" s="7">
        <v>35</v>
      </c>
      <c r="D12" s="7">
        <f t="shared" si="0"/>
        <v>35</v>
      </c>
      <c r="E12" s="7">
        <f>B12-D12</f>
        <v>20</v>
      </c>
      <c r="F12" s="7">
        <f t="shared" si="1"/>
        <v>0</v>
      </c>
      <c r="G12" s="7">
        <v>40</v>
      </c>
      <c r="H12" s="7">
        <v>30</v>
      </c>
      <c r="I12" s="8">
        <f>G12*H12</f>
        <v>1200</v>
      </c>
    </row>
    <row r="13" spans="1:11" ht="15.6" thickTop="1" thickBot="1" x14ac:dyDescent="0.35">
      <c r="A13" s="13" t="s">
        <v>16</v>
      </c>
      <c r="B13" s="6">
        <v>20</v>
      </c>
      <c r="C13" s="7">
        <v>6</v>
      </c>
      <c r="D13" s="7">
        <v>6</v>
      </c>
      <c r="E13" s="7">
        <v>14</v>
      </c>
      <c r="F13" s="7">
        <v>0</v>
      </c>
      <c r="G13" s="7">
        <v>6</v>
      </c>
      <c r="H13" s="7">
        <v>30</v>
      </c>
      <c r="I13" s="8">
        <f>G13*H13</f>
        <v>180</v>
      </c>
    </row>
    <row r="14" spans="1:11" ht="15.6" thickTop="1" thickBot="1" x14ac:dyDescent="0.35">
      <c r="A14" s="17" t="s">
        <v>17</v>
      </c>
      <c r="B14" s="6"/>
      <c r="C14" s="7"/>
      <c r="D14" s="7"/>
      <c r="E14" s="7"/>
      <c r="F14" s="7"/>
      <c r="G14" s="7"/>
      <c r="H14" s="7"/>
      <c r="I14" s="8"/>
    </row>
    <row r="15" spans="1:11" ht="15.6" thickTop="1" thickBot="1" x14ac:dyDescent="0.35">
      <c r="A15" s="18" t="s">
        <v>18</v>
      </c>
      <c r="B15" s="6"/>
      <c r="C15" s="7"/>
      <c r="D15" s="7"/>
      <c r="E15" s="7"/>
      <c r="F15" s="7"/>
      <c r="G15" s="7"/>
      <c r="H15" s="7"/>
      <c r="I15" s="8"/>
    </row>
    <row r="16" spans="1:11" ht="15" thickTop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5DED-1662-417F-87B5-3579B9059142}">
  <dimension ref="A1:K16"/>
  <sheetViews>
    <sheetView tabSelected="1" workbookViewId="0">
      <selection activeCell="G9" sqref="G9"/>
    </sheetView>
  </sheetViews>
  <sheetFormatPr baseColWidth="10" defaultColWidth="11.44140625" defaultRowHeight="14.4" x14ac:dyDescent="0.3"/>
  <cols>
    <col min="1" max="1" width="24.109375" bestFit="1" customWidth="1"/>
    <col min="2" max="2" width="16.109375" bestFit="1" customWidth="1"/>
    <col min="3" max="3" width="15.77734375" bestFit="1" customWidth="1"/>
    <col min="4" max="4" width="8.5546875" bestFit="1" customWidth="1"/>
    <col min="5" max="5" width="17.77734375" customWidth="1"/>
    <col min="6" max="6" width="13.77734375" customWidth="1"/>
    <col min="7" max="7" width="12.88671875" bestFit="1" customWidth="1"/>
    <col min="8" max="8" width="22.77734375" bestFit="1" customWidth="1"/>
    <col min="9" max="9" width="10.109375" bestFit="1" customWidth="1"/>
    <col min="10" max="10" width="6.6640625" bestFit="1" customWidth="1"/>
  </cols>
  <sheetData>
    <row r="1" spans="1:11" ht="15.6" thickTop="1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t="s">
        <v>9</v>
      </c>
    </row>
    <row r="2" spans="1:11" ht="15.6" thickTop="1" thickBot="1" x14ac:dyDescent="0.35">
      <c r="A2" s="1" t="s">
        <v>21</v>
      </c>
      <c r="B2" s="3">
        <v>20</v>
      </c>
      <c r="C2" s="4">
        <v>0</v>
      </c>
      <c r="D2" s="4">
        <v>19</v>
      </c>
      <c r="E2" s="4">
        <v>1</v>
      </c>
      <c r="F2" s="4">
        <f>B2-(D2+E2)</f>
        <v>0</v>
      </c>
      <c r="G2" s="4">
        <v>0</v>
      </c>
      <c r="H2" s="4">
        <v>50</v>
      </c>
      <c r="I2" s="5">
        <f>G2*H2</f>
        <v>0</v>
      </c>
    </row>
    <row r="3" spans="1:11" ht="15.6" thickTop="1" thickBot="1" x14ac:dyDescent="0.35">
      <c r="A3" s="2" t="s">
        <v>10</v>
      </c>
      <c r="B3" s="6"/>
      <c r="C3" s="7"/>
      <c r="D3" s="4">
        <f t="shared" ref="D3:D7" si="0">C3</f>
        <v>0</v>
      </c>
      <c r="E3" s="7">
        <v>0</v>
      </c>
      <c r="F3" s="4">
        <f t="shared" ref="F3:F7" si="1">B3-(C3+E3)</f>
        <v>0</v>
      </c>
      <c r="G3" s="4">
        <f t="shared" ref="G3:G7" si="2">E3+C3</f>
        <v>0</v>
      </c>
      <c r="H3" s="4">
        <v>50</v>
      </c>
      <c r="I3" s="5">
        <f t="shared" ref="I3:I8" si="3">G3*H3</f>
        <v>0</v>
      </c>
    </row>
    <row r="4" spans="1:11" ht="15.6" thickTop="1" thickBot="1" x14ac:dyDescent="0.35">
      <c r="A4" s="2" t="s">
        <v>11</v>
      </c>
      <c r="B4" s="6"/>
      <c r="C4" s="7"/>
      <c r="D4" s="4">
        <f t="shared" si="0"/>
        <v>0</v>
      </c>
      <c r="E4" s="7"/>
      <c r="F4" s="4">
        <f t="shared" si="1"/>
        <v>0</v>
      </c>
      <c r="G4" s="4">
        <f t="shared" si="2"/>
        <v>0</v>
      </c>
      <c r="H4" s="4">
        <v>50</v>
      </c>
      <c r="I4" s="5">
        <f t="shared" si="3"/>
        <v>0</v>
      </c>
    </row>
    <row r="5" spans="1:11" ht="15.6" thickTop="1" thickBot="1" x14ac:dyDescent="0.35">
      <c r="A5" s="2" t="s">
        <v>12</v>
      </c>
      <c r="B5" s="6"/>
      <c r="C5" s="7"/>
      <c r="D5" s="4">
        <f t="shared" si="0"/>
        <v>0</v>
      </c>
      <c r="E5" s="7"/>
      <c r="F5" s="4">
        <f t="shared" si="1"/>
        <v>0</v>
      </c>
      <c r="G5" s="4">
        <f t="shared" si="2"/>
        <v>0</v>
      </c>
      <c r="H5" s="4">
        <v>50</v>
      </c>
      <c r="I5" s="5">
        <f t="shared" si="3"/>
        <v>0</v>
      </c>
    </row>
    <row r="6" spans="1:11" ht="15.6" thickTop="1" thickBot="1" x14ac:dyDescent="0.35">
      <c r="A6" s="2" t="s">
        <v>13</v>
      </c>
      <c r="B6" s="6"/>
      <c r="C6" s="7"/>
      <c r="D6" s="4">
        <f t="shared" si="0"/>
        <v>0</v>
      </c>
      <c r="E6" s="7"/>
      <c r="F6" s="4">
        <f t="shared" si="1"/>
        <v>0</v>
      </c>
      <c r="G6" s="4">
        <f t="shared" si="2"/>
        <v>0</v>
      </c>
      <c r="H6" s="4">
        <v>50</v>
      </c>
      <c r="I6" s="5">
        <f t="shared" si="3"/>
        <v>0</v>
      </c>
    </row>
    <row r="7" spans="1:11" ht="15.6" thickTop="1" thickBot="1" x14ac:dyDescent="0.35">
      <c r="A7" s="2" t="s">
        <v>14</v>
      </c>
      <c r="B7" s="6"/>
      <c r="C7" s="7"/>
      <c r="D7" s="4">
        <f t="shared" si="0"/>
        <v>0</v>
      </c>
      <c r="E7" s="7"/>
      <c r="F7" s="4">
        <f t="shared" si="1"/>
        <v>0</v>
      </c>
      <c r="G7" s="4">
        <f t="shared" si="2"/>
        <v>0</v>
      </c>
      <c r="H7" s="4">
        <v>50</v>
      </c>
      <c r="I7" s="5">
        <f t="shared" si="3"/>
        <v>0</v>
      </c>
    </row>
    <row r="8" spans="1:11" ht="15.6" thickTop="1" thickBot="1" x14ac:dyDescent="0.35">
      <c r="A8" s="10" t="s">
        <v>20</v>
      </c>
      <c r="B8" s="6">
        <v>30</v>
      </c>
      <c r="C8" s="7">
        <v>10</v>
      </c>
      <c r="D8" s="7">
        <v>30</v>
      </c>
      <c r="E8" s="7">
        <v>0</v>
      </c>
      <c r="F8" s="7">
        <v>0</v>
      </c>
      <c r="G8" s="7">
        <v>0</v>
      </c>
      <c r="H8" s="7">
        <v>50</v>
      </c>
      <c r="I8" s="8">
        <f t="shared" si="3"/>
        <v>0</v>
      </c>
    </row>
    <row r="9" spans="1:11" ht="15.6" thickTop="1" thickBot="1" x14ac:dyDescent="0.35">
      <c r="A9" s="11" t="s">
        <v>22</v>
      </c>
      <c r="B9" s="6"/>
      <c r="C9" s="7"/>
      <c r="D9" s="7"/>
      <c r="E9" s="7"/>
      <c r="F9" s="7"/>
      <c r="G9" s="7"/>
      <c r="H9" s="7"/>
      <c r="I9" s="8"/>
    </row>
    <row r="10" spans="1:11" ht="15.6" thickTop="1" thickBot="1" x14ac:dyDescent="0.35">
      <c r="A10" s="11" t="s">
        <v>23</v>
      </c>
      <c r="B10" s="6"/>
      <c r="C10" s="7">
        <v>10</v>
      </c>
      <c r="D10" s="7"/>
      <c r="E10" s="7"/>
      <c r="F10" s="7"/>
      <c r="G10" s="7"/>
      <c r="H10" s="7"/>
      <c r="I10" s="8"/>
    </row>
    <row r="11" spans="1:11" ht="15.6" thickTop="1" thickBot="1" x14ac:dyDescent="0.35">
      <c r="A11" s="11" t="s">
        <v>24</v>
      </c>
      <c r="B11" s="6"/>
      <c r="C11" s="7"/>
      <c r="D11" s="7"/>
      <c r="E11" s="7"/>
      <c r="F11" s="7"/>
      <c r="G11" s="7"/>
      <c r="H11" s="7"/>
      <c r="I11" s="8"/>
    </row>
    <row r="12" spans="1:11" ht="15.6" thickTop="1" thickBot="1" x14ac:dyDescent="0.35">
      <c r="A12" s="12" t="s">
        <v>15</v>
      </c>
      <c r="B12" s="6">
        <v>55</v>
      </c>
      <c r="C12" s="7">
        <v>30</v>
      </c>
      <c r="D12" s="7">
        <v>65</v>
      </c>
      <c r="E12" s="7">
        <f>B12-D12</f>
        <v>-10</v>
      </c>
      <c r="F12" s="7">
        <v>10</v>
      </c>
      <c r="G12" s="7">
        <v>10</v>
      </c>
      <c r="H12" s="7">
        <v>30</v>
      </c>
      <c r="I12" s="8">
        <f>G12*H12</f>
        <v>300</v>
      </c>
    </row>
    <row r="13" spans="1:11" ht="15.6" thickTop="1" thickBot="1" x14ac:dyDescent="0.35">
      <c r="A13" s="13" t="s">
        <v>16</v>
      </c>
      <c r="B13" s="6">
        <v>20</v>
      </c>
      <c r="C13" s="7"/>
      <c r="D13" s="7">
        <v>6</v>
      </c>
      <c r="E13" s="7"/>
      <c r="F13" s="7"/>
      <c r="G13" s="7"/>
      <c r="H13" s="7"/>
      <c r="I13" s="8">
        <f t="shared" ref="I13:I14" si="4">G13*H13</f>
        <v>0</v>
      </c>
    </row>
    <row r="14" spans="1:11" ht="15.6" thickTop="1" thickBot="1" x14ac:dyDescent="0.35">
      <c r="A14" s="17" t="s">
        <v>17</v>
      </c>
      <c r="B14" s="6">
        <v>10</v>
      </c>
      <c r="C14" s="7">
        <v>8</v>
      </c>
      <c r="D14" s="7">
        <v>8</v>
      </c>
      <c r="E14" s="7">
        <v>2</v>
      </c>
      <c r="F14" s="7">
        <v>0</v>
      </c>
      <c r="G14" s="7">
        <v>2</v>
      </c>
      <c r="H14" s="7">
        <v>30</v>
      </c>
      <c r="I14" s="8">
        <f t="shared" si="4"/>
        <v>60</v>
      </c>
    </row>
    <row r="15" spans="1:11" ht="15.6" thickTop="1" thickBot="1" x14ac:dyDescent="0.35">
      <c r="A15" s="18" t="s">
        <v>18</v>
      </c>
      <c r="B15" s="6"/>
      <c r="C15" s="7"/>
      <c r="D15" s="7"/>
      <c r="E15" s="7"/>
      <c r="F15" s="7"/>
      <c r="G15" s="7"/>
      <c r="H15" s="7"/>
      <c r="I15" s="8"/>
    </row>
    <row r="16" spans="1:11" ht="15" thickTop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EAFA-C1F2-40B3-920A-BFF9DB9B3427}">
  <dimension ref="A1:K18"/>
  <sheetViews>
    <sheetView workbookViewId="0">
      <selection activeCell="E13" sqref="E13"/>
    </sheetView>
  </sheetViews>
  <sheetFormatPr baseColWidth="10" defaultColWidth="11.44140625" defaultRowHeight="14.4" x14ac:dyDescent="0.3"/>
  <cols>
    <col min="1" max="1" width="24.109375" bestFit="1" customWidth="1"/>
    <col min="2" max="2" width="16.33203125" customWidth="1"/>
    <col min="3" max="3" width="15.77734375" bestFit="1" customWidth="1"/>
    <col min="4" max="4" width="8.5546875" bestFit="1" customWidth="1"/>
    <col min="5" max="5" width="17.33203125" bestFit="1" customWidth="1"/>
    <col min="6" max="6" width="14" customWidth="1"/>
    <col min="7" max="7" width="12.88671875" bestFit="1" customWidth="1"/>
    <col min="8" max="8" width="22.77734375" bestFit="1" customWidth="1"/>
    <col min="9" max="9" width="10.109375" bestFit="1" customWidth="1"/>
    <col min="10" max="10" width="6.6640625" bestFit="1" customWidth="1"/>
  </cols>
  <sheetData>
    <row r="1" spans="1:11" ht="15.6" thickTop="1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t="s">
        <v>9</v>
      </c>
    </row>
    <row r="2" spans="1:11" ht="15.6" thickTop="1" thickBot="1" x14ac:dyDescent="0.35">
      <c r="A2" s="1" t="s">
        <v>21</v>
      </c>
      <c r="B2" s="3">
        <v>20</v>
      </c>
      <c r="C2" s="4">
        <v>0</v>
      </c>
      <c r="D2" s="4">
        <v>19</v>
      </c>
      <c r="E2" s="4">
        <v>1</v>
      </c>
      <c r="F2" s="4">
        <f>B2-(D2+E2)</f>
        <v>0</v>
      </c>
      <c r="G2" s="4">
        <v>0</v>
      </c>
      <c r="H2" s="4">
        <v>50</v>
      </c>
      <c r="I2" s="5">
        <f>G2*H2</f>
        <v>0</v>
      </c>
    </row>
    <row r="3" spans="1:11" ht="15.6" thickTop="1" thickBot="1" x14ac:dyDescent="0.35">
      <c r="A3" s="2" t="s">
        <v>10</v>
      </c>
      <c r="B3" s="6"/>
      <c r="C3" s="7"/>
      <c r="D3" s="4"/>
      <c r="E3" s="7"/>
      <c r="F3" s="4"/>
      <c r="G3" s="4"/>
      <c r="H3" s="4"/>
      <c r="I3" s="5"/>
    </row>
    <row r="4" spans="1:11" ht="15.6" thickTop="1" thickBot="1" x14ac:dyDescent="0.35">
      <c r="A4" s="2" t="s">
        <v>11</v>
      </c>
      <c r="B4" s="6"/>
      <c r="C4" s="7"/>
      <c r="D4" s="4"/>
      <c r="E4" s="7"/>
      <c r="F4" s="4"/>
      <c r="G4" s="4"/>
      <c r="H4" s="4"/>
      <c r="I4" s="5"/>
    </row>
    <row r="5" spans="1:11" ht="15.6" thickTop="1" thickBot="1" x14ac:dyDescent="0.35">
      <c r="A5" s="2" t="s">
        <v>12</v>
      </c>
      <c r="B5" s="6"/>
      <c r="C5" s="7"/>
      <c r="D5" s="4"/>
      <c r="E5" s="7"/>
      <c r="F5" s="4"/>
      <c r="G5" s="4"/>
      <c r="H5" s="4"/>
      <c r="I5" s="5"/>
    </row>
    <row r="6" spans="1:11" ht="15.6" thickTop="1" thickBot="1" x14ac:dyDescent="0.35">
      <c r="A6" s="2" t="s">
        <v>13</v>
      </c>
      <c r="B6" s="6"/>
      <c r="C6" s="7"/>
      <c r="D6" s="4"/>
      <c r="E6" s="7"/>
      <c r="F6" s="4"/>
      <c r="G6" s="4"/>
      <c r="H6" s="4"/>
      <c r="I6" s="5"/>
    </row>
    <row r="7" spans="1:11" ht="15.6" thickTop="1" thickBot="1" x14ac:dyDescent="0.35">
      <c r="A7" s="2" t="s">
        <v>14</v>
      </c>
      <c r="B7" s="6"/>
      <c r="C7" s="7"/>
      <c r="D7" s="4"/>
      <c r="E7" s="7"/>
      <c r="F7" s="4"/>
      <c r="G7" s="4"/>
      <c r="H7" s="4"/>
      <c r="I7" s="5"/>
    </row>
    <row r="8" spans="1:11" ht="15.6" thickTop="1" thickBot="1" x14ac:dyDescent="0.35">
      <c r="A8" s="10" t="s">
        <v>20</v>
      </c>
      <c r="B8" s="6">
        <v>30</v>
      </c>
      <c r="C8" s="7">
        <v>0</v>
      </c>
      <c r="D8" s="7">
        <f t="shared" ref="D8:D12" si="0">C8</f>
        <v>0</v>
      </c>
      <c r="E8" s="7">
        <v>10</v>
      </c>
      <c r="F8" s="7">
        <f t="shared" ref="F8:F12" si="1">B8-(C8+E8)</f>
        <v>20</v>
      </c>
      <c r="G8" s="7">
        <f t="shared" ref="G8:G12" si="2">E8+C8</f>
        <v>10</v>
      </c>
      <c r="H8" s="7">
        <v>50</v>
      </c>
      <c r="I8" s="8">
        <f t="shared" ref="I8:I12" si="3">G8*H8</f>
        <v>500</v>
      </c>
    </row>
    <row r="9" spans="1:11" ht="15.6" thickTop="1" thickBot="1" x14ac:dyDescent="0.35">
      <c r="A9" s="11" t="s">
        <v>22</v>
      </c>
      <c r="B9" s="6"/>
      <c r="C9" s="7"/>
      <c r="D9" s="7"/>
      <c r="E9" s="7"/>
      <c r="F9" s="7"/>
      <c r="G9" s="7"/>
      <c r="H9" s="7"/>
      <c r="I9" s="8"/>
    </row>
    <row r="10" spans="1:11" ht="15.6" thickTop="1" thickBot="1" x14ac:dyDescent="0.35">
      <c r="A10" s="11" t="s">
        <v>23</v>
      </c>
      <c r="B10" s="6"/>
      <c r="C10" s="7"/>
      <c r="D10" s="7"/>
      <c r="E10" s="7"/>
      <c r="F10" s="7"/>
      <c r="G10" s="7"/>
      <c r="H10" s="7"/>
      <c r="I10" s="8"/>
    </row>
    <row r="11" spans="1:11" ht="15.6" thickTop="1" thickBot="1" x14ac:dyDescent="0.35">
      <c r="A11" s="11" t="s">
        <v>24</v>
      </c>
      <c r="B11" s="6"/>
      <c r="C11" s="7"/>
      <c r="D11" s="7"/>
      <c r="E11" s="7"/>
      <c r="F11" s="7"/>
      <c r="G11" s="7"/>
      <c r="H11" s="7"/>
      <c r="I11" s="8"/>
    </row>
    <row r="12" spans="1:11" ht="15.6" thickTop="1" thickBot="1" x14ac:dyDescent="0.35">
      <c r="A12" s="12" t="s">
        <v>15</v>
      </c>
      <c r="B12" s="6"/>
      <c r="C12" s="7">
        <v>0</v>
      </c>
      <c r="D12" s="7">
        <f t="shared" si="0"/>
        <v>0</v>
      </c>
      <c r="E12" s="7"/>
      <c r="F12" s="7">
        <f t="shared" si="1"/>
        <v>0</v>
      </c>
      <c r="G12" s="7">
        <f t="shared" si="2"/>
        <v>0</v>
      </c>
      <c r="H12" s="7">
        <v>30</v>
      </c>
      <c r="I12" s="8">
        <f t="shared" si="3"/>
        <v>0</v>
      </c>
    </row>
    <row r="13" spans="1:11" ht="15.6" thickTop="1" thickBot="1" x14ac:dyDescent="0.35">
      <c r="A13" s="13" t="s">
        <v>16</v>
      </c>
      <c r="B13" s="6"/>
      <c r="C13" s="7"/>
      <c r="D13" s="7"/>
      <c r="E13" s="7"/>
      <c r="F13" s="7"/>
      <c r="G13" s="7"/>
      <c r="H13" s="7"/>
      <c r="I13" s="8"/>
    </row>
    <row r="14" spans="1:11" ht="15.6" thickTop="1" thickBot="1" x14ac:dyDescent="0.35">
      <c r="A14" s="17" t="s">
        <v>17</v>
      </c>
      <c r="B14" s="6"/>
      <c r="C14" s="7"/>
      <c r="D14" s="7"/>
      <c r="E14" s="7"/>
      <c r="F14" s="7"/>
      <c r="G14" s="7"/>
      <c r="H14" s="7"/>
      <c r="I14" s="8"/>
    </row>
    <row r="15" spans="1:11" ht="15.6" thickTop="1" thickBot="1" x14ac:dyDescent="0.35">
      <c r="A15" s="18" t="s">
        <v>18</v>
      </c>
      <c r="B15" s="6"/>
      <c r="C15" s="7"/>
      <c r="D15" s="7"/>
      <c r="E15" s="7"/>
      <c r="F15" s="7"/>
      <c r="G15" s="7"/>
      <c r="H15" s="7"/>
      <c r="I15" s="8"/>
    </row>
    <row r="16" spans="1:11" ht="15" thickTop="1" x14ac:dyDescent="0.3"/>
    <row r="17" spans="1:9" ht="15" thickBot="1" x14ac:dyDescent="0.35"/>
    <row r="18" spans="1:9" ht="15" thickBot="1" x14ac:dyDescent="0.35">
      <c r="A18" s="14" t="s">
        <v>19</v>
      </c>
      <c r="B18" s="15">
        <f t="shared" ref="B18:I18" si="4">SUM(B2:B15)</f>
        <v>50</v>
      </c>
      <c r="C18" s="15">
        <f t="shared" si="4"/>
        <v>0</v>
      </c>
      <c r="D18" s="15">
        <f t="shared" si="4"/>
        <v>19</v>
      </c>
      <c r="E18" s="15">
        <f t="shared" si="4"/>
        <v>11</v>
      </c>
      <c r="F18" s="15">
        <f t="shared" si="4"/>
        <v>20</v>
      </c>
      <c r="G18" s="15">
        <f t="shared" si="4"/>
        <v>10</v>
      </c>
      <c r="H18" s="15">
        <f t="shared" si="4"/>
        <v>130</v>
      </c>
      <c r="I18" s="16">
        <f t="shared" si="4"/>
        <v>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e5c878-cbe3-42f0-b442-5f37f898d171">
      <Terms xmlns="http://schemas.microsoft.com/office/infopath/2007/PartnerControls"/>
    </lcf76f155ced4ddcb4097134ff3c332f>
    <TaxCatchAll xmlns="b3177238-c1cd-4b3e-aacc-31e6eb500fa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84049E3F50824FA827ED59E0C040BC" ma:contentTypeVersion="10" ma:contentTypeDescription="Crée un document." ma:contentTypeScope="" ma:versionID="1a3c167eca9f1cdb82cd374d9318666b">
  <xsd:schema xmlns:xsd="http://www.w3.org/2001/XMLSchema" xmlns:xs="http://www.w3.org/2001/XMLSchema" xmlns:p="http://schemas.microsoft.com/office/2006/metadata/properties" xmlns:ns2="c0e5c878-cbe3-42f0-b442-5f37f898d171" xmlns:ns3="b3177238-c1cd-4b3e-aacc-31e6eb500fae" targetNamespace="http://schemas.microsoft.com/office/2006/metadata/properties" ma:root="true" ma:fieldsID="5e8c96d6f6d78fcf7593d091c7e83566" ns2:_="" ns3:_="">
    <xsd:import namespace="c0e5c878-cbe3-42f0-b442-5f37f898d171"/>
    <xsd:import namespace="b3177238-c1cd-4b3e-aacc-31e6eb500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5c878-cbe3-42f0-b442-5f37f898d1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2fee1a98-43a5-414c-ba74-85edd82ad2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77238-c1cd-4b3e-aacc-31e6eb500f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9dfd17-3e38-4356-a0fa-9bb194c718b0}" ma:internalName="TaxCatchAll" ma:showField="CatchAllData" ma:web="b3177238-c1cd-4b3e-aacc-31e6eb500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4773CA-4B77-4573-9645-945DD4F10BC8}">
  <ds:schemaRefs>
    <ds:schemaRef ds:uri="http://schemas.microsoft.com/office/2006/metadata/properties"/>
    <ds:schemaRef ds:uri="http://schemas.microsoft.com/office/infopath/2007/PartnerControls"/>
    <ds:schemaRef ds:uri="c0e5c878-cbe3-42f0-b442-5f37f898d171"/>
    <ds:schemaRef ds:uri="b3177238-c1cd-4b3e-aacc-31e6eb500fae"/>
  </ds:schemaRefs>
</ds:datastoreItem>
</file>

<file path=customXml/itemProps2.xml><?xml version="1.0" encoding="utf-8"?>
<ds:datastoreItem xmlns:ds="http://schemas.openxmlformats.org/officeDocument/2006/customXml" ds:itemID="{6932B1F6-00FA-455A-8F9F-11350D2F4E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e5c878-cbe3-42f0-b442-5f37f898d171"/>
    <ds:schemaRef ds:uri="b3177238-c1cd-4b3e-aacc-31e6eb500f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015050-432A-4444-9B1A-8C53C3699F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Septembre</vt:lpstr>
      <vt:lpstr>Octobre </vt:lpstr>
      <vt:lpstr>Novembre</vt:lpstr>
      <vt:lpstr>Décembre</vt:lpstr>
      <vt:lpstr>Janvier</vt:lpstr>
      <vt:lpstr>Février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Marwane EL HITMi</dc:creator>
  <cp:keywords/>
  <dc:description/>
  <cp:lastModifiedBy>Irfan Akturk</cp:lastModifiedBy>
  <cp:revision/>
  <dcterms:created xsi:type="dcterms:W3CDTF">2015-06-05T18:19:34Z</dcterms:created>
  <dcterms:modified xsi:type="dcterms:W3CDTF">2025-02-11T11:52:48Z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0x0101006384049E3F50824FA827ED59E0C040BC</vt:lpwstr>
  </property>
  <property fmtid="{D5CDD505-2E9C-101B-9397-08002B2CF9AE}" pid="3" name="MediaServiceImageTags">
    <vt:lpwstr/>
  </property>
</Properties>
</file>